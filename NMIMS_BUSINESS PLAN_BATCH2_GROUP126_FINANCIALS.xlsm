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cr" ContentType="image/.rcr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89a78d9622b467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bb81f69425b7212/Desktop/NMIMS_BUSINESS PLAN_BATCH2_GROUP126/"/>
    </mc:Choice>
  </mc:AlternateContent>
  <xr:revisionPtr revIDLastSave="0" documentId="13_ncr:1_{CC1D2748-DBFA-4742-B7E6-41CF2A7C15E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DEX" sheetId="22" r:id="rId1"/>
    <sheet name="data" sheetId="1" state="hidden" r:id="rId2"/>
    <sheet name="DASHBOARD " sheetId="5" r:id="rId3"/>
    <sheet name="Statement" sheetId="10" state="hidden" r:id="rId4"/>
    <sheet name="ChartsDataSheet" sheetId="9" state="hidden" r:id="rId5"/>
    <sheet name="calc" sheetId="11" state="hidden" r:id="rId6"/>
    <sheet name="SALES FORECAST" sheetId="12" r:id="rId7"/>
    <sheet name="COST SHEET " sheetId="13" r:id="rId8"/>
    <sheet name="INCOME STATEMENT " sheetId="17" r:id="rId9"/>
    <sheet name="BALANCE SHEET " sheetId="16" r:id="rId10"/>
    <sheet name="CASH BOOK" sheetId="15" r:id="rId11"/>
    <sheet name="CASH FLOW STATEMENT " sheetId="20" r:id="rId12"/>
    <sheet name="BREAK EVEN POINT " sheetId="19" r:id="rId13"/>
    <sheet name="RATIOS " sheetId="18" r:id="rId14"/>
    <sheet name="COP (IN UNITS) " sheetId="14" r:id="rId15"/>
    <sheet name="3 STATEMENT " sheetId="21" state="hidden" r:id="rId16"/>
  </sheets>
  <definedNames>
    <definedName name="Closing_stock">'INCOME STATEMENT '!#REF!</definedName>
    <definedName name="ListMonths">data!$C$41:$C$45</definedName>
    <definedName name="PER_UNIT">'INCOME STATEMENT '!#REF!</definedName>
    <definedName name="TOTAL_COGS">'INCOME STATEMENT '!#REF!</definedName>
    <definedName name="TOTAL_COGS.">'INCOME STATEMENT '!#REF!</definedName>
    <definedName name="TOTAL_PURCHASE_COST">'INCOME STATEMENT '!#REF!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3" i="13" l="1"/>
  <c r="I54" i="13"/>
  <c r="I50" i="13"/>
  <c r="Y34" i="13"/>
  <c r="U34" i="13"/>
  <c r="O34" i="13"/>
  <c r="Q34" i="13"/>
  <c r="L34" i="13"/>
  <c r="M34" i="13"/>
  <c r="O8" i="13"/>
  <c r="Y20" i="13"/>
  <c r="U16" i="13"/>
  <c r="Y16" i="13" s="1"/>
  <c r="U17" i="13"/>
  <c r="Y17" i="13" s="1"/>
  <c r="K7" i="13"/>
  <c r="I34" i="13"/>
  <c r="D6" i="12"/>
  <c r="D20" i="1" l="1"/>
  <c r="D19" i="1"/>
  <c r="D18" i="1"/>
  <c r="D17" i="1"/>
  <c r="D16" i="1"/>
  <c r="F21" i="1"/>
  <c r="E21" i="1"/>
  <c r="G12" i="1"/>
  <c r="H12" i="1"/>
  <c r="I12" i="1"/>
  <c r="E12" i="1"/>
  <c r="E20" i="21"/>
  <c r="D17" i="21"/>
  <c r="E16" i="21"/>
  <c r="D16" i="21"/>
  <c r="C10" i="19" s="1"/>
  <c r="E15" i="21"/>
  <c r="D42" i="20" s="1"/>
  <c r="D15" i="21"/>
  <c r="C42" i="20" s="1"/>
  <c r="F14" i="21"/>
  <c r="E39" i="20" s="1"/>
  <c r="E40" i="20" s="1"/>
  <c r="E14" i="21"/>
  <c r="D39" i="20" s="1"/>
  <c r="D40" i="20" s="1"/>
  <c r="D14" i="21"/>
  <c r="H13" i="21"/>
  <c r="G32" i="20" s="1"/>
  <c r="F13" i="21"/>
  <c r="E32" i="20" s="1"/>
  <c r="E13" i="21"/>
  <c r="C20" i="17" s="1"/>
  <c r="D13" i="21"/>
  <c r="C8" i="19" s="1"/>
  <c r="H12" i="21"/>
  <c r="G31" i="20" s="1"/>
  <c r="F12" i="21"/>
  <c r="E31" i="20" s="1"/>
  <c r="E12" i="21"/>
  <c r="C19" i="17" s="1"/>
  <c r="D12" i="21"/>
  <c r="B19" i="17" s="1"/>
  <c r="H11" i="21"/>
  <c r="G30" i="20" s="1"/>
  <c r="F11" i="21"/>
  <c r="E30" i="20" s="1"/>
  <c r="E11" i="21"/>
  <c r="D30" i="20" s="1"/>
  <c r="D11" i="21"/>
  <c r="B18" i="17" s="1"/>
  <c r="H10" i="21"/>
  <c r="G29" i="20" s="1"/>
  <c r="F10" i="21"/>
  <c r="D17" i="17" s="1"/>
  <c r="E10" i="21"/>
  <c r="D29" i="20" s="1"/>
  <c r="D10" i="21"/>
  <c r="C12" i="19" s="1"/>
  <c r="H9" i="21"/>
  <c r="G28" i="20" s="1"/>
  <c r="F9" i="21"/>
  <c r="D16" i="17" s="1"/>
  <c r="E9" i="21"/>
  <c r="D21" i="19" s="1"/>
  <c r="D9" i="21"/>
  <c r="C21" i="19" s="1"/>
  <c r="X8" i="21"/>
  <c r="S8" i="21"/>
  <c r="D14" i="20" s="1"/>
  <c r="R8" i="21"/>
  <c r="L8" i="21"/>
  <c r="D10" i="20" s="1"/>
  <c r="K8" i="21"/>
  <c r="E11" i="15" s="1"/>
  <c r="H8" i="21"/>
  <c r="G27" i="20" s="1"/>
  <c r="F8" i="21"/>
  <c r="D15" i="17" s="1"/>
  <c r="E8" i="21"/>
  <c r="D27" i="20" s="1"/>
  <c r="D8" i="21"/>
  <c r="C20" i="19" s="1"/>
  <c r="S7" i="21"/>
  <c r="D13" i="20" s="1"/>
  <c r="R7" i="21"/>
  <c r="K7" i="21"/>
  <c r="H7" i="21"/>
  <c r="G26" i="20" s="1"/>
  <c r="F7" i="21"/>
  <c r="D14" i="17" s="1"/>
  <c r="E7" i="21"/>
  <c r="C14" i="17" s="1"/>
  <c r="D7" i="21"/>
  <c r="D50" i="20"/>
  <c r="H45" i="20"/>
  <c r="G45" i="20"/>
  <c r="F45" i="20"/>
  <c r="E45" i="20"/>
  <c r="D43" i="20"/>
  <c r="H40" i="20"/>
  <c r="G40" i="20"/>
  <c r="F40" i="20"/>
  <c r="H32" i="20"/>
  <c r="F32" i="20"/>
  <c r="H31" i="20"/>
  <c r="F31" i="20"/>
  <c r="H30" i="20"/>
  <c r="F30" i="20"/>
  <c r="H29" i="20"/>
  <c r="F29" i="20"/>
  <c r="H28" i="20"/>
  <c r="F28" i="20"/>
  <c r="E28" i="20"/>
  <c r="H27" i="20"/>
  <c r="F27" i="20"/>
  <c r="H26" i="20"/>
  <c r="F26" i="20"/>
  <c r="H20" i="20"/>
  <c r="G20" i="20"/>
  <c r="F20" i="20"/>
  <c r="E20" i="20"/>
  <c r="D20" i="20"/>
  <c r="H15" i="20"/>
  <c r="G15" i="20"/>
  <c r="F15" i="20"/>
  <c r="E15" i="20"/>
  <c r="C22" i="19"/>
  <c r="B26" i="17"/>
  <c r="B23" i="17"/>
  <c r="G22" i="17"/>
  <c r="F22" i="17"/>
  <c r="E22" i="17"/>
  <c r="D22" i="17"/>
  <c r="C22" i="17"/>
  <c r="G21" i="17"/>
  <c r="F21" i="17"/>
  <c r="E21" i="17"/>
  <c r="D21" i="17"/>
  <c r="G20" i="17"/>
  <c r="F20" i="17"/>
  <c r="E20" i="17"/>
  <c r="G19" i="17"/>
  <c r="E19" i="17"/>
  <c r="G18" i="17"/>
  <c r="E18" i="17"/>
  <c r="D18" i="17"/>
  <c r="G17" i="17"/>
  <c r="E17" i="17"/>
  <c r="G16" i="17"/>
  <c r="E16" i="17"/>
  <c r="G15" i="17"/>
  <c r="F15" i="17"/>
  <c r="E15" i="17"/>
  <c r="G14" i="17"/>
  <c r="F14" i="17"/>
  <c r="E14" i="17"/>
  <c r="D10" i="17"/>
  <c r="M8" i="21" s="1"/>
  <c r="G41" i="16"/>
  <c r="F41" i="16"/>
  <c r="E41" i="16"/>
  <c r="D41" i="16"/>
  <c r="C41" i="16"/>
  <c r="G36" i="16"/>
  <c r="F36" i="16"/>
  <c r="E36" i="16"/>
  <c r="D36" i="16"/>
  <c r="C36" i="16"/>
  <c r="G23" i="16"/>
  <c r="H17" i="18" s="1"/>
  <c r="F23" i="16"/>
  <c r="G17" i="18" s="1"/>
  <c r="E23" i="16"/>
  <c r="F17" i="18" s="1"/>
  <c r="C23" i="16"/>
  <c r="D17" i="18" s="1"/>
  <c r="P19" i="15"/>
  <c r="O19" i="15"/>
  <c r="H17" i="21" s="1"/>
  <c r="N19" i="15"/>
  <c r="M19" i="15"/>
  <c r="F17" i="21" s="1"/>
  <c r="D23" i="17" s="1"/>
  <c r="L19" i="15"/>
  <c r="E17" i="21" s="1"/>
  <c r="E8" i="14"/>
  <c r="F5" i="14" s="1"/>
  <c r="F8" i="14" s="1"/>
  <c r="G5" i="14" s="1"/>
  <c r="G8" i="14" s="1"/>
  <c r="H5" i="14" s="1"/>
  <c r="H8" i="14" s="1"/>
  <c r="I5" i="14" s="1"/>
  <c r="I8" i="14" s="1"/>
  <c r="Q70" i="13"/>
  <c r="U70" i="13" s="1"/>
  <c r="M70" i="13"/>
  <c r="I70" i="13"/>
  <c r="Q68" i="13"/>
  <c r="Q66" i="13"/>
  <c r="U66" i="13" s="1"/>
  <c r="Y66" i="13" s="1"/>
  <c r="M66" i="13"/>
  <c r="I66" i="13"/>
  <c r="H62" i="13"/>
  <c r="G62" i="13"/>
  <c r="I59" i="13"/>
  <c r="I57" i="13"/>
  <c r="I45" i="13"/>
  <c r="G44" i="13"/>
  <c r="I43" i="13"/>
  <c r="I42" i="13"/>
  <c r="I41" i="13"/>
  <c r="I21" i="1"/>
  <c r="H21" i="1"/>
  <c r="G21" i="1"/>
  <c r="I24" i="13"/>
  <c r="I22" i="13"/>
  <c r="M22" i="13" s="1"/>
  <c r="Q22" i="13" s="1"/>
  <c r="U22" i="13" s="1"/>
  <c r="Y22" i="13" s="1"/>
  <c r="I20" i="13"/>
  <c r="M20" i="13" s="1"/>
  <c r="Q20" i="13" s="1"/>
  <c r="I17" i="13"/>
  <c r="M17" i="13" s="1"/>
  <c r="I16" i="13"/>
  <c r="M16" i="13" s="1"/>
  <c r="I11" i="13"/>
  <c r="I9" i="13"/>
  <c r="G7" i="13"/>
  <c r="C15" i="12"/>
  <c r="C16" i="12" s="1"/>
  <c r="E12" i="12"/>
  <c r="H12" i="12" s="1"/>
  <c r="I12" i="12" s="1"/>
  <c r="I9" i="12"/>
  <c r="H9" i="12"/>
  <c r="D15" i="12"/>
  <c r="BUG121" i="9"/>
  <c r="BUE121" i="9"/>
  <c r="BUG120" i="9"/>
  <c r="BUE120" i="9"/>
  <c r="BUG119" i="9"/>
  <c r="BUE119" i="9"/>
  <c r="BUG118" i="9"/>
  <c r="BUE118" i="9"/>
  <c r="BUG117" i="9"/>
  <c r="BUE117" i="9"/>
  <c r="BUG116" i="9"/>
  <c r="BUE116" i="9"/>
  <c r="BUG115" i="9"/>
  <c r="BUE115" i="9"/>
  <c r="BUG114" i="9"/>
  <c r="BUE114" i="9"/>
  <c r="BUG113" i="9"/>
  <c r="BUE113" i="9"/>
  <c r="BUG112" i="9"/>
  <c r="BUE112" i="9"/>
  <c r="BUG111" i="9"/>
  <c r="BUE111" i="9"/>
  <c r="BUG110" i="9"/>
  <c r="BUE110" i="9"/>
  <c r="BUG109" i="9"/>
  <c r="BUE109" i="9"/>
  <c r="BUG108" i="9"/>
  <c r="BUE108" i="9"/>
  <c r="BUG107" i="9"/>
  <c r="BUE107" i="9"/>
  <c r="BUG106" i="9"/>
  <c r="BUE106" i="9"/>
  <c r="BUG105" i="9"/>
  <c r="BUE105" i="9"/>
  <c r="BUG104" i="9"/>
  <c r="BUE104" i="9"/>
  <c r="BUG103" i="9"/>
  <c r="BUE103" i="9"/>
  <c r="BUG102" i="9"/>
  <c r="BUE102" i="9"/>
  <c r="BUG101" i="9"/>
  <c r="BUE101" i="9"/>
  <c r="BUG100" i="9"/>
  <c r="BUE100" i="9"/>
  <c r="BUG99" i="9"/>
  <c r="BUE99" i="9"/>
  <c r="BUG98" i="9"/>
  <c r="BUE98" i="9"/>
  <c r="BUG97" i="9"/>
  <c r="BUE97" i="9"/>
  <c r="BUG96" i="9"/>
  <c r="BUE96" i="9"/>
  <c r="BUG95" i="9"/>
  <c r="BUE95" i="9"/>
  <c r="BUG94" i="9"/>
  <c r="BUE94" i="9"/>
  <c r="BUG93" i="9"/>
  <c r="BUE93" i="9"/>
  <c r="BUI98" i="9"/>
  <c r="BUI119" i="9" s="1"/>
  <c r="BUI118" i="9" s="1"/>
  <c r="BUI97" i="9"/>
  <c r="BUH119" i="9"/>
  <c r="BUH118" i="9" s="1"/>
  <c r="BUH115" i="9"/>
  <c r="BUH111" i="9"/>
  <c r="BUH110" i="9"/>
  <c r="BUH109" i="9"/>
  <c r="BUH105" i="9"/>
  <c r="BUH104" i="9"/>
  <c r="BUH103" i="9"/>
  <c r="BUH99" i="9"/>
  <c r="BUH97" i="9"/>
  <c r="BUG92" i="9"/>
  <c r="BUE92" i="9"/>
  <c r="DA3" i="9"/>
  <c r="CY3" i="9"/>
  <c r="BUD99" i="9"/>
  <c r="BUD114" i="9"/>
  <c r="BUD120" i="9"/>
  <c r="BUD118" i="9"/>
  <c r="BUD95" i="9"/>
  <c r="BUD110" i="9"/>
  <c r="BUD115" i="9"/>
  <c r="BUD117" i="9"/>
  <c r="BUD92" i="9"/>
  <c r="BUD93" i="9"/>
  <c r="BUD111" i="9"/>
  <c r="BUD101" i="9"/>
  <c r="BUD116" i="9"/>
  <c r="BUD102" i="9"/>
  <c r="BUD121" i="9"/>
  <c r="BUD109" i="9"/>
  <c r="BUD113" i="9"/>
  <c r="BUD112" i="9"/>
  <c r="BUD106" i="9"/>
  <c r="BUD104" i="9"/>
  <c r="BUD103" i="9"/>
  <c r="BUD100" i="9"/>
  <c r="BUD98" i="9"/>
  <c r="BUD108" i="9"/>
  <c r="BUD107" i="9"/>
  <c r="BUD97" i="9"/>
  <c r="BUD119" i="9"/>
  <c r="BUD96" i="9"/>
  <c r="BUD94" i="9"/>
  <c r="BUD105" i="9"/>
  <c r="B17" i="17" l="1"/>
  <c r="C21" i="17"/>
  <c r="C11" i="19"/>
  <c r="M72" i="13"/>
  <c r="I62" i="13"/>
  <c r="I63" i="13" s="1"/>
  <c r="I72" i="13"/>
  <c r="C17" i="17"/>
  <c r="E26" i="20"/>
  <c r="I44" i="13"/>
  <c r="I46" i="13" s="1"/>
  <c r="G46" i="13"/>
  <c r="H8" i="13" s="1"/>
  <c r="P8" i="13" s="1"/>
  <c r="T8" i="13" s="1"/>
  <c r="D20" i="17"/>
  <c r="E29" i="20"/>
  <c r="C19" i="19"/>
  <c r="B14" i="17"/>
  <c r="E6" i="12"/>
  <c r="F11" i="15"/>
  <c r="G8" i="1"/>
  <c r="I8" i="1"/>
  <c r="E10" i="17"/>
  <c r="F10" i="17" s="1"/>
  <c r="G10" i="17" s="1"/>
  <c r="P8" i="21" s="1"/>
  <c r="E25" i="16"/>
  <c r="G43" i="16"/>
  <c r="H8" i="18" s="1"/>
  <c r="D18" i="18"/>
  <c r="E18" i="1" s="1"/>
  <c r="C25" i="16"/>
  <c r="E43" i="16"/>
  <c r="F8" i="18" s="1"/>
  <c r="G6" i="18"/>
  <c r="H6" i="18"/>
  <c r="F43" i="16"/>
  <c r="G8" i="18" s="1"/>
  <c r="F18" i="18"/>
  <c r="G18" i="1" s="1"/>
  <c r="B20" i="17"/>
  <c r="B16" i="17"/>
  <c r="B15" i="17"/>
  <c r="C9" i="19"/>
  <c r="F17" i="17"/>
  <c r="F18" i="17"/>
  <c r="E27" i="20"/>
  <c r="F8" i="1"/>
  <c r="B22" i="17"/>
  <c r="D26" i="17"/>
  <c r="D32" i="20"/>
  <c r="C43" i="20"/>
  <c r="D19" i="17"/>
  <c r="D24" i="17" s="1"/>
  <c r="C12" i="16"/>
  <c r="C18" i="17"/>
  <c r="D15" i="20"/>
  <c r="D26" i="20"/>
  <c r="C15" i="17"/>
  <c r="F16" i="17"/>
  <c r="H8" i="1" s="1"/>
  <c r="F19" i="17"/>
  <c r="B21" i="17"/>
  <c r="D20" i="19"/>
  <c r="T8" i="21"/>
  <c r="D22" i="19"/>
  <c r="D45" i="20"/>
  <c r="M9" i="13"/>
  <c r="Q9" i="13"/>
  <c r="Q72" i="13"/>
  <c r="U68" i="13"/>
  <c r="Y68" i="13" s="1"/>
  <c r="C23" i="17"/>
  <c r="D33" i="20"/>
  <c r="E10" i="20"/>
  <c r="G11" i="15"/>
  <c r="Y70" i="13"/>
  <c r="F23" i="17"/>
  <c r="G33" i="20"/>
  <c r="G35" i="20" s="1"/>
  <c r="G46" i="20" s="1"/>
  <c r="D16" i="12"/>
  <c r="H16" i="12" s="1"/>
  <c r="D8" i="17"/>
  <c r="H15" i="12"/>
  <c r="F12" i="12"/>
  <c r="G12" i="12" s="1"/>
  <c r="G18" i="18"/>
  <c r="H18" i="1" s="1"/>
  <c r="D31" i="20"/>
  <c r="G17" i="21"/>
  <c r="H6" i="12"/>
  <c r="C8" i="17"/>
  <c r="C16" i="17"/>
  <c r="D6" i="18"/>
  <c r="H18" i="18"/>
  <c r="I18" i="1" s="1"/>
  <c r="D28" i="20"/>
  <c r="D19" i="19"/>
  <c r="T7" i="21"/>
  <c r="I17" i="21"/>
  <c r="F25" i="16"/>
  <c r="C26" i="17"/>
  <c r="F6" i="18"/>
  <c r="E33" i="20"/>
  <c r="G25" i="16"/>
  <c r="C43" i="16"/>
  <c r="D8" i="18" s="1"/>
  <c r="D43" i="16"/>
  <c r="E8" i="18" s="1"/>
  <c r="BUI105" i="9"/>
  <c r="BUI110" i="9"/>
  <c r="BUI99" i="9"/>
  <c r="BUI104" i="9"/>
  <c r="BUI103" i="9" s="1"/>
  <c r="BUI109" i="9"/>
  <c r="BUI115" i="9"/>
  <c r="BUJ98" i="9"/>
  <c r="BUI111" i="9"/>
  <c r="CX3" i="9"/>
  <c r="C24" i="17" l="1"/>
  <c r="Y72" i="13"/>
  <c r="U72" i="13"/>
  <c r="I8" i="13"/>
  <c r="I14" i="13" s="1"/>
  <c r="Q8" i="13"/>
  <c r="Q14" i="13" s="1"/>
  <c r="Q23" i="13" s="1"/>
  <c r="L27" i="13" s="1"/>
  <c r="I73" i="13"/>
  <c r="I30" i="13" s="1"/>
  <c r="M30" i="13" s="1"/>
  <c r="Q30" i="13" s="1"/>
  <c r="U30" i="13" s="1"/>
  <c r="Y30" i="13" s="1"/>
  <c r="F24" i="17"/>
  <c r="F6" i="12"/>
  <c r="G6" i="12" s="1"/>
  <c r="O8" i="21"/>
  <c r="I11" i="15" s="1"/>
  <c r="N8" i="21"/>
  <c r="F10" i="20" s="1"/>
  <c r="H10" i="1"/>
  <c r="E15" i="1"/>
  <c r="E8" i="1"/>
  <c r="D35" i="20"/>
  <c r="D46" i="20" s="1"/>
  <c r="E10" i="1"/>
  <c r="F10" i="1"/>
  <c r="F15" i="1"/>
  <c r="D23" i="19"/>
  <c r="D26" i="19" s="1"/>
  <c r="D27" i="19" s="1"/>
  <c r="H15" i="1"/>
  <c r="U8" i="13"/>
  <c r="Y8" i="13" s="1"/>
  <c r="X8" i="13"/>
  <c r="U9" i="13"/>
  <c r="E23" i="17"/>
  <c r="E24" i="17" s="1"/>
  <c r="F33" i="20"/>
  <c r="F35" i="20" s="1"/>
  <c r="F46" i="20" s="1"/>
  <c r="J11" i="15"/>
  <c r="H10" i="20"/>
  <c r="G10" i="20"/>
  <c r="H33" i="20"/>
  <c r="H35" i="20" s="1"/>
  <c r="H46" i="20" s="1"/>
  <c r="G23" i="17"/>
  <c r="G24" i="17" s="1"/>
  <c r="M7" i="21"/>
  <c r="H11" i="15"/>
  <c r="D12" i="16"/>
  <c r="U7" i="21"/>
  <c r="L7" i="21"/>
  <c r="I6" i="12"/>
  <c r="E15" i="12"/>
  <c r="BUJ115" i="9"/>
  <c r="BUJ109" i="9"/>
  <c r="BUJ104" i="9"/>
  <c r="BUJ103" i="9" s="1"/>
  <c r="BUJ99" i="9"/>
  <c r="BUJ110" i="9"/>
  <c r="BUJ105" i="9"/>
  <c r="BUJ119" i="9"/>
  <c r="BUJ118" i="9" s="1"/>
  <c r="BUJ111" i="9"/>
  <c r="BUK98" i="9"/>
  <c r="BUJ97" i="9"/>
  <c r="G20" i="11"/>
  <c r="C37" i="1"/>
  <c r="I23" i="13" l="1"/>
  <c r="H26" i="13" s="1"/>
  <c r="I26" i="13" s="1"/>
  <c r="M14" i="13"/>
  <c r="M23" i="13" s="1"/>
  <c r="L28" i="13" s="1"/>
  <c r="M28" i="13" s="1"/>
  <c r="M32" i="13" s="1"/>
  <c r="M33" i="13" s="1"/>
  <c r="M8" i="13"/>
  <c r="D28" i="19"/>
  <c r="D32" i="19" s="1"/>
  <c r="D31" i="19"/>
  <c r="G15" i="1"/>
  <c r="G10" i="1"/>
  <c r="I15" i="1"/>
  <c r="I10" i="1"/>
  <c r="Q26" i="13"/>
  <c r="N9" i="21" s="1"/>
  <c r="E9" i="17" s="1"/>
  <c r="Q28" i="13"/>
  <c r="Y9" i="13"/>
  <c r="Y14" i="13" s="1"/>
  <c r="Y23" i="13" s="1"/>
  <c r="U14" i="13"/>
  <c r="U23" i="13" s="1"/>
  <c r="F9" i="15"/>
  <c r="D9" i="20"/>
  <c r="D11" i="20" s="1"/>
  <c r="D22" i="20" s="1"/>
  <c r="D48" i="20" s="1"/>
  <c r="E12" i="16"/>
  <c r="V7" i="21"/>
  <c r="G9" i="15"/>
  <c r="E9" i="20"/>
  <c r="E11" i="20" s="1"/>
  <c r="E22" i="20" s="1"/>
  <c r="E16" i="12"/>
  <c r="I16" i="12" s="1"/>
  <c r="E8" i="17"/>
  <c r="I15" i="12"/>
  <c r="F15" i="12"/>
  <c r="BUK115" i="9"/>
  <c r="BUK109" i="9"/>
  <c r="BUK104" i="9"/>
  <c r="BUK103" i="9" s="1"/>
  <c r="BUK99" i="9"/>
  <c r="BUK110" i="9"/>
  <c r="BUK105" i="9"/>
  <c r="BUK119" i="9"/>
  <c r="BUK118" i="9" s="1"/>
  <c r="BUK111" i="9"/>
  <c r="BUL98" i="9"/>
  <c r="BUK97" i="9"/>
  <c r="CJQ3" i="9"/>
  <c r="CJO3" i="9"/>
  <c r="CJW3" i="9"/>
  <c r="E14" i="11"/>
  <c r="E11" i="11"/>
  <c r="E12" i="11"/>
  <c r="E13" i="11"/>
  <c r="E5" i="11"/>
  <c r="E6" i="11"/>
  <c r="E7" i="11"/>
  <c r="E8" i="11"/>
  <c r="E9" i="11"/>
  <c r="E10" i="11"/>
  <c r="E4" i="11"/>
  <c r="CJN3" i="9"/>
  <c r="F22" i="15" l="1"/>
  <c r="L20" i="15" s="1"/>
  <c r="L22" i="15" s="1"/>
  <c r="P28" i="13"/>
  <c r="E19" i="12" s="1"/>
  <c r="E26" i="12" s="1"/>
  <c r="E27" i="12" s="1"/>
  <c r="Q32" i="13"/>
  <c r="Q33" i="13" s="1"/>
  <c r="X26" i="13"/>
  <c r="Y26" i="13" s="1"/>
  <c r="T26" i="13"/>
  <c r="U26" i="13" s="1"/>
  <c r="U28" i="13" s="1"/>
  <c r="L9" i="21"/>
  <c r="E19" i="21" s="1"/>
  <c r="E22" i="21" s="1"/>
  <c r="S9" i="21" s="1"/>
  <c r="I28" i="13"/>
  <c r="H28" i="13" s="1"/>
  <c r="W7" i="21"/>
  <c r="F12" i="16"/>
  <c r="N7" i="21"/>
  <c r="E11" i="17"/>
  <c r="G15" i="12"/>
  <c r="F8" i="17"/>
  <c r="F16" i="12"/>
  <c r="BUS93" i="9"/>
  <c r="FE3" i="9"/>
  <c r="EZ3" i="9"/>
  <c r="BUR93" i="9"/>
  <c r="BUQ93" i="9"/>
  <c r="EU3" i="9"/>
  <c r="BUP93" i="9"/>
  <c r="EP3" i="9"/>
  <c r="EK3" i="9"/>
  <c r="BUO93" i="9"/>
  <c r="EF3" i="9"/>
  <c r="BUN93" i="9"/>
  <c r="BUM93" i="9"/>
  <c r="EA3" i="9"/>
  <c r="BUL110" i="9"/>
  <c r="BUL105" i="9"/>
  <c r="BUL119" i="9"/>
  <c r="BUL118" i="9" s="1"/>
  <c r="BUL111" i="9"/>
  <c r="BUM98" i="9"/>
  <c r="BUL97" i="9"/>
  <c r="BUL115" i="9"/>
  <c r="BUL109" i="9"/>
  <c r="BUL104" i="9"/>
  <c r="BUL103" i="9" s="1"/>
  <c r="BUL99" i="9"/>
  <c r="D51" i="20" l="1"/>
  <c r="E50" i="20" s="1"/>
  <c r="Y7" i="21"/>
  <c r="G7" i="15"/>
  <c r="G22" i="15" s="1"/>
  <c r="E23" i="12"/>
  <c r="G23" i="1"/>
  <c r="T28" i="13"/>
  <c r="U32" i="13"/>
  <c r="U33" i="13" s="1"/>
  <c r="P9" i="21"/>
  <c r="G9" i="17" s="1"/>
  <c r="Y28" i="13"/>
  <c r="Y8" i="21"/>
  <c r="O9" i="21"/>
  <c r="F9" i="17" s="1"/>
  <c r="F11" i="17" s="1"/>
  <c r="T27" i="13"/>
  <c r="F19" i="12" s="1"/>
  <c r="F26" i="12" s="1"/>
  <c r="F27" i="12" s="1"/>
  <c r="I32" i="13"/>
  <c r="C9" i="17"/>
  <c r="C11" i="17" s="1"/>
  <c r="C25" i="17" s="1"/>
  <c r="E25" i="17"/>
  <c r="E27" i="17" s="1"/>
  <c r="E30" i="17" s="1"/>
  <c r="G7" i="1"/>
  <c r="V5" i="11" s="1"/>
  <c r="H9" i="15"/>
  <c r="F9" i="20"/>
  <c r="F11" i="20" s="1"/>
  <c r="F22" i="20" s="1"/>
  <c r="F48" i="20" s="1"/>
  <c r="G19" i="21"/>
  <c r="G22" i="21" s="1"/>
  <c r="G12" i="16"/>
  <c r="C15" i="16"/>
  <c r="C26" i="16" s="1"/>
  <c r="S20" i="21"/>
  <c r="C19" i="12"/>
  <c r="G8" i="17"/>
  <c r="G16" i="12"/>
  <c r="O7" i="21"/>
  <c r="F19" i="18"/>
  <c r="BUM119" i="9"/>
  <c r="BUM118" i="9" s="1"/>
  <c r="BUM111" i="9"/>
  <c r="BUN98" i="9"/>
  <c r="BUM97" i="9"/>
  <c r="BUM115" i="9"/>
  <c r="BUM109" i="9"/>
  <c r="BUM104" i="9"/>
  <c r="BUM103" i="9" s="1"/>
  <c r="BUM99" i="9"/>
  <c r="BUM110" i="9"/>
  <c r="BUM105" i="9"/>
  <c r="Y20" i="21" l="1"/>
  <c r="S25" i="21" s="1"/>
  <c r="D52" i="20"/>
  <c r="H23" i="1"/>
  <c r="X28" i="13"/>
  <c r="G19" i="12" s="1"/>
  <c r="G23" i="12" s="1"/>
  <c r="Y32" i="13"/>
  <c r="H19" i="18" s="1"/>
  <c r="E23" i="1"/>
  <c r="I33" i="13"/>
  <c r="F23" i="12"/>
  <c r="F15" i="18"/>
  <c r="C27" i="17"/>
  <c r="D15" i="18"/>
  <c r="E7" i="1"/>
  <c r="T5" i="11" s="1"/>
  <c r="BUJ93" i="9"/>
  <c r="DL3" i="9"/>
  <c r="F25" i="17"/>
  <c r="G15" i="18" s="1"/>
  <c r="H7" i="1"/>
  <c r="W5" i="11" s="1"/>
  <c r="G11" i="17"/>
  <c r="P7" i="21"/>
  <c r="C18" i="16"/>
  <c r="I9" i="15"/>
  <c r="G9" i="20"/>
  <c r="G11" i="20" s="1"/>
  <c r="G22" i="20" s="1"/>
  <c r="G48" i="20" s="1"/>
  <c r="H19" i="21"/>
  <c r="H22" i="21" s="1"/>
  <c r="F13" i="18"/>
  <c r="G16" i="1" s="1"/>
  <c r="F9" i="18"/>
  <c r="G20" i="1" s="1"/>
  <c r="D19" i="18"/>
  <c r="G19" i="18"/>
  <c r="C26" i="12"/>
  <c r="C27" i="12" s="1"/>
  <c r="C23" i="12"/>
  <c r="FA3" i="9"/>
  <c r="FB3" i="9" s="1"/>
  <c r="BUR94" i="9"/>
  <c r="BUR120" i="9" s="1"/>
  <c r="BUS94" i="9"/>
  <c r="BUS120" i="9" s="1"/>
  <c r="FF3" i="9"/>
  <c r="FG3" i="9" s="1"/>
  <c r="BUN115" i="9"/>
  <c r="BUN109" i="9"/>
  <c r="BUN104" i="9"/>
  <c r="BUN103" i="9" s="1"/>
  <c r="BUN99" i="9"/>
  <c r="BUN110" i="9"/>
  <c r="BUN105" i="9"/>
  <c r="BUN119" i="9"/>
  <c r="BUN118" i="9" s="1"/>
  <c r="BUN111" i="9"/>
  <c r="BUO98" i="9"/>
  <c r="BUN97" i="9"/>
  <c r="D13" i="18" l="1"/>
  <c r="E16" i="1" s="1"/>
  <c r="C30" i="17"/>
  <c r="E9" i="1"/>
  <c r="G26" i="12"/>
  <c r="G27" i="12" s="1"/>
  <c r="Y33" i="13"/>
  <c r="I23" i="1"/>
  <c r="D9" i="18"/>
  <c r="E20" i="1" s="1"/>
  <c r="BUH93" i="9"/>
  <c r="DB3" i="9"/>
  <c r="DQ3" i="9"/>
  <c r="BUK93" i="9"/>
  <c r="F27" i="17"/>
  <c r="G25" i="17"/>
  <c r="G27" i="17" s="1"/>
  <c r="G30" i="17" s="1"/>
  <c r="I7" i="1"/>
  <c r="X5" i="11" s="1"/>
  <c r="F10" i="18"/>
  <c r="F20" i="18"/>
  <c r="G17" i="1" s="1"/>
  <c r="F12" i="18"/>
  <c r="D14" i="18"/>
  <c r="D7" i="18"/>
  <c r="H9" i="20"/>
  <c r="H11" i="20" s="1"/>
  <c r="H22" i="20" s="1"/>
  <c r="H48" i="20" s="1"/>
  <c r="J9" i="15"/>
  <c r="I19" i="21"/>
  <c r="I22" i="21" s="1"/>
  <c r="FI3" i="9"/>
  <c r="FH3" i="9"/>
  <c r="BUS113" i="9"/>
  <c r="BUS100" i="9"/>
  <c r="BUS121" i="9"/>
  <c r="BUS101" i="9"/>
  <c r="BUS107" i="9"/>
  <c r="BUS106" i="9"/>
  <c r="BUR113" i="9"/>
  <c r="BUR106" i="9"/>
  <c r="BUR101" i="9"/>
  <c r="BUR100" i="9"/>
  <c r="BUR121" i="9"/>
  <c r="BUR107" i="9"/>
  <c r="FD3" i="9"/>
  <c r="FC3" i="9"/>
  <c r="BUO115" i="9"/>
  <c r="BUO109" i="9"/>
  <c r="BUO104" i="9"/>
  <c r="BUO103" i="9" s="1"/>
  <c r="BUO99" i="9"/>
  <c r="BUO110" i="9"/>
  <c r="BUO105" i="9"/>
  <c r="BUO119" i="9"/>
  <c r="BUO118" i="9" s="1"/>
  <c r="BUO111" i="9"/>
  <c r="BUP98" i="9"/>
  <c r="BUO97" i="9"/>
  <c r="E22" i="1"/>
  <c r="D11" i="18" l="1"/>
  <c r="D10" i="18"/>
  <c r="G9" i="18"/>
  <c r="H20" i="1" s="1"/>
  <c r="F30" i="17"/>
  <c r="G20" i="18" s="1"/>
  <c r="H17" i="1" s="1"/>
  <c r="D20" i="18"/>
  <c r="E17" i="1" s="1"/>
  <c r="G13" i="18"/>
  <c r="H16" i="1" s="1"/>
  <c r="D12" i="18"/>
  <c r="D16" i="18" s="1"/>
  <c r="H15" i="18"/>
  <c r="E19" i="1"/>
  <c r="BUL93" i="9"/>
  <c r="DV3" i="9"/>
  <c r="H9" i="18"/>
  <c r="I20" i="1" s="1"/>
  <c r="H13" i="18"/>
  <c r="I16" i="1" s="1"/>
  <c r="BUP110" i="9"/>
  <c r="BUP105" i="9"/>
  <c r="BUP119" i="9"/>
  <c r="BUP118" i="9" s="1"/>
  <c r="BUP111" i="9"/>
  <c r="BUQ98" i="9"/>
  <c r="BUP97" i="9"/>
  <c r="BUP115" i="9"/>
  <c r="BUP109" i="9"/>
  <c r="BUP104" i="9"/>
  <c r="BUP103" i="9" s="1"/>
  <c r="BUP99" i="9"/>
  <c r="U6" i="11"/>
  <c r="T6" i="11"/>
  <c r="E11" i="1"/>
  <c r="E13" i="1" s="1"/>
  <c r="E14" i="1" s="1"/>
  <c r="G10" i="18" l="1"/>
  <c r="G12" i="18"/>
  <c r="H20" i="18"/>
  <c r="I17" i="1" s="1"/>
  <c r="H12" i="18"/>
  <c r="H10" i="18"/>
  <c r="BUI94" i="9"/>
  <c r="DH3" i="9"/>
  <c r="BUH94" i="9"/>
  <c r="DC3" i="9"/>
  <c r="DD3" i="9" s="1"/>
  <c r="BUQ119" i="9"/>
  <c r="BUQ118" i="9" s="1"/>
  <c r="BUQ111" i="9"/>
  <c r="BUR98" i="9"/>
  <c r="BUQ97" i="9"/>
  <c r="BUQ115" i="9"/>
  <c r="BUQ109" i="9"/>
  <c r="BUQ104" i="9"/>
  <c r="BUQ103" i="9" s="1"/>
  <c r="BUQ99" i="9"/>
  <c r="BUQ110" i="9"/>
  <c r="BUQ105" i="9"/>
  <c r="E24" i="1"/>
  <c r="BUH101" i="9" l="1"/>
  <c r="BUH106" i="9"/>
  <c r="BUH107" i="9"/>
  <c r="BUH100" i="9"/>
  <c r="BUH121" i="9"/>
  <c r="BUH120" i="9"/>
  <c r="DE3" i="9"/>
  <c r="DF3" i="9"/>
  <c r="BUH113" i="9"/>
  <c r="BUI113" i="9"/>
  <c r="BUR115" i="9"/>
  <c r="BUR109" i="9"/>
  <c r="BUR104" i="9"/>
  <c r="BUR103" i="9" s="1"/>
  <c r="BUR99" i="9"/>
  <c r="BUR110" i="9"/>
  <c r="BUR105" i="9"/>
  <c r="BUR119" i="9"/>
  <c r="BUR118" i="9" s="1"/>
  <c r="BUR111" i="9"/>
  <c r="BUS98" i="9"/>
  <c r="BUR97" i="9"/>
  <c r="BJJ2" i="9"/>
  <c r="BJH2" i="9"/>
  <c r="BIP2" i="9"/>
  <c r="BIS2" i="9" s="1"/>
  <c r="V3" i="9"/>
  <c r="T3" i="9"/>
  <c r="H3" i="9"/>
  <c r="D3" i="9" s="1"/>
  <c r="BF3" i="9" s="1"/>
  <c r="B3" i="9"/>
  <c r="C3" i="9" s="1"/>
  <c r="BG3" i="9" s="1"/>
  <c r="S3" i="9"/>
  <c r="BJG2" i="9"/>
  <c r="BUS115" i="9" l="1"/>
  <c r="BUS109" i="9"/>
  <c r="BUS104" i="9"/>
  <c r="BUS103" i="9" s="1"/>
  <c r="BUS99" i="9"/>
  <c r="BUS110" i="9"/>
  <c r="BUS105" i="9"/>
  <c r="BUS119" i="9"/>
  <c r="BUS118" i="9" s="1"/>
  <c r="BUS111" i="9"/>
  <c r="BUS97" i="9"/>
  <c r="BIV2" i="9"/>
  <c r="BIU2" i="9"/>
  <c r="BIT2" i="9"/>
  <c r="E3" i="9"/>
  <c r="BE3" i="9" s="1"/>
  <c r="BUG91" i="9"/>
  <c r="BUE91" i="9"/>
  <c r="BUG90" i="9"/>
  <c r="BUE90" i="9"/>
  <c r="BUG89" i="9"/>
  <c r="BUE89" i="9"/>
  <c r="BUG88" i="9"/>
  <c r="BUE88" i="9"/>
  <c r="BUG87" i="9"/>
  <c r="BUE87" i="9"/>
  <c r="BUG86" i="9"/>
  <c r="BUE86" i="9"/>
  <c r="BUG85" i="9"/>
  <c r="BUE85" i="9"/>
  <c r="BUG84" i="9"/>
  <c r="BUE84" i="9"/>
  <c r="BUG83" i="9"/>
  <c r="BUE83" i="9"/>
  <c r="BUG82" i="9"/>
  <c r="BUE82" i="9"/>
  <c r="BUG81" i="9"/>
  <c r="BUE81" i="9"/>
  <c r="BUG80" i="9"/>
  <c r="BUE80" i="9"/>
  <c r="BUG79" i="9"/>
  <c r="BUE79" i="9"/>
  <c r="BUG78" i="9"/>
  <c r="BUE78" i="9"/>
  <c r="BUG77" i="9"/>
  <c r="BUE77" i="9"/>
  <c r="BUG76" i="9"/>
  <c r="BUE76" i="9"/>
  <c r="BUG75" i="9"/>
  <c r="BUE75" i="9"/>
  <c r="BUG74" i="9"/>
  <c r="BUE74" i="9"/>
  <c r="BUG73" i="9"/>
  <c r="BUE73" i="9"/>
  <c r="BUG72" i="9"/>
  <c r="BUE72" i="9"/>
  <c r="BUG71" i="9"/>
  <c r="BUE71" i="9"/>
  <c r="BUG70" i="9"/>
  <c r="BUE70" i="9"/>
  <c r="BUG69" i="9"/>
  <c r="BUE69" i="9"/>
  <c r="BUG68" i="9"/>
  <c r="BUE68" i="9"/>
  <c r="BUG67" i="9"/>
  <c r="BUE67" i="9"/>
  <c r="BUG66" i="9"/>
  <c r="BUE66" i="9"/>
  <c r="BUG65" i="9"/>
  <c r="BUE65" i="9"/>
  <c r="BUG64" i="9"/>
  <c r="BUE64" i="9"/>
  <c r="BUG63" i="9"/>
  <c r="BUE63" i="9"/>
  <c r="BUS64" i="9"/>
  <c r="BUS83" i="9" s="1"/>
  <c r="BUR64" i="9"/>
  <c r="BUR83" i="9" s="1"/>
  <c r="BUQ64" i="9"/>
  <c r="BUP64" i="9"/>
  <c r="BUP83" i="9" s="1"/>
  <c r="BUO64" i="9"/>
  <c r="BUO83" i="9" s="1"/>
  <c r="BUN64" i="9"/>
  <c r="BUN83" i="9" s="1"/>
  <c r="BUM64" i="9"/>
  <c r="BUM83" i="9" s="1"/>
  <c r="BUL64" i="9"/>
  <c r="BUL83" i="9" s="1"/>
  <c r="BUK64" i="9"/>
  <c r="BUK71" i="9" s="1"/>
  <c r="BUJ64" i="9"/>
  <c r="BUJ83" i="9" s="1"/>
  <c r="BUI64" i="9"/>
  <c r="BUI83" i="9" s="1"/>
  <c r="BUH64" i="9"/>
  <c r="BUH83" i="9" s="1"/>
  <c r="BUS63" i="9"/>
  <c r="BUS90" i="9" s="1"/>
  <c r="BUR63" i="9"/>
  <c r="BUR90" i="9" s="1"/>
  <c r="BUQ63" i="9"/>
  <c r="BUP63" i="9"/>
  <c r="BUO63" i="9"/>
  <c r="BUO90" i="9" s="1"/>
  <c r="BUN63" i="9"/>
  <c r="BUN90" i="9" s="1"/>
  <c r="BUM63" i="9"/>
  <c r="BUM90" i="9" s="1"/>
  <c r="BUL63" i="9"/>
  <c r="BUL76" i="9" s="1"/>
  <c r="BUK63" i="9"/>
  <c r="BUK76" i="9" s="1"/>
  <c r="BUJ63" i="9"/>
  <c r="BUJ71" i="9" s="1"/>
  <c r="BUI63" i="9"/>
  <c r="BUH63" i="9"/>
  <c r="BUS91" i="9"/>
  <c r="BUR91" i="9"/>
  <c r="BUQ91" i="9"/>
  <c r="BUP91" i="9"/>
  <c r="BUO91" i="9"/>
  <c r="BUQ83" i="9"/>
  <c r="BUK83" i="9"/>
  <c r="BUO70" i="9"/>
  <c r="BUI68" i="9"/>
  <c r="BUI89" i="9" s="1"/>
  <c r="BUI88" i="9" s="1"/>
  <c r="BUH89" i="9"/>
  <c r="BUH88" i="9" s="1"/>
  <c r="BUH85" i="9"/>
  <c r="BUH81" i="9"/>
  <c r="BUH80" i="9"/>
  <c r="BUH79" i="9"/>
  <c r="BUH75" i="9"/>
  <c r="BUH74" i="9"/>
  <c r="BUH73" i="9" s="1"/>
  <c r="BUH69" i="9"/>
  <c r="BUH67" i="9"/>
  <c r="BUG62" i="9"/>
  <c r="BUE62" i="9"/>
  <c r="BUD81" i="9"/>
  <c r="BUD68" i="9"/>
  <c r="BUD85" i="9"/>
  <c r="BUD83" i="9"/>
  <c r="BUD71" i="9"/>
  <c r="BUD87" i="9"/>
  <c r="BUD62" i="9"/>
  <c r="BUD69" i="9"/>
  <c r="BUD91" i="9"/>
  <c r="BUD64" i="9"/>
  <c r="BUD88" i="9"/>
  <c r="BUD65" i="9"/>
  <c r="BUD76" i="9"/>
  <c r="BUD80" i="9"/>
  <c r="BUD82" i="9"/>
  <c r="BUD63" i="9"/>
  <c r="BUD75" i="9"/>
  <c r="BUD67" i="9"/>
  <c r="BUD89" i="9"/>
  <c r="BUD73" i="9"/>
  <c r="BUD72" i="9"/>
  <c r="BUD90" i="9"/>
  <c r="BUD74" i="9"/>
  <c r="BUD70" i="9"/>
  <c r="BUD86" i="9"/>
  <c r="BUD79" i="9"/>
  <c r="BUD78" i="9"/>
  <c r="BUD84" i="9"/>
  <c r="BUD66" i="9"/>
  <c r="BUD77" i="9"/>
  <c r="BUS76" i="9" l="1"/>
  <c r="BUK90" i="9"/>
  <c r="BUS77" i="9"/>
  <c r="BUK91" i="9"/>
  <c r="BUM91" i="9"/>
  <c r="BUQ76" i="9"/>
  <c r="BUN91" i="9"/>
  <c r="BUO76" i="9"/>
  <c r="BUH76" i="9"/>
  <c r="BUP76" i="9"/>
  <c r="BUI77" i="9"/>
  <c r="BUI91" i="9"/>
  <c r="BUJ91" i="9"/>
  <c r="BUO71" i="9"/>
  <c r="BUR76" i="9"/>
  <c r="BUK77" i="9"/>
  <c r="BUL91" i="9"/>
  <c r="BUI76" i="9"/>
  <c r="BUP77" i="9"/>
  <c r="BUH90" i="9"/>
  <c r="BUK70" i="9"/>
  <c r="BUS71" i="9"/>
  <c r="BUP71" i="9"/>
  <c r="BUL70" i="9"/>
  <c r="BUH70" i="9"/>
  <c r="BUP70" i="9"/>
  <c r="BUL77" i="9"/>
  <c r="BUH71" i="9"/>
  <c r="BUS70" i="9"/>
  <c r="BUO77" i="9"/>
  <c r="BUN71" i="9"/>
  <c r="BUR71" i="9"/>
  <c r="BUP90" i="9"/>
  <c r="BUL90" i="9"/>
  <c r="BUM71" i="9"/>
  <c r="BUQ71" i="9"/>
  <c r="BUQ70" i="9"/>
  <c r="BUM76" i="9"/>
  <c r="BUM77" i="9"/>
  <c r="BUJ77" i="9"/>
  <c r="BUJ68" i="9"/>
  <c r="BUK68" i="9" s="1"/>
  <c r="BUN70" i="9"/>
  <c r="BUR70" i="9"/>
  <c r="BUN76" i="9"/>
  <c r="BUN77" i="9"/>
  <c r="BUR77" i="9"/>
  <c r="BUM70" i="9"/>
  <c r="BUQ77" i="9"/>
  <c r="BUQ90" i="9"/>
  <c r="BUI67" i="9"/>
  <c r="BUJ70" i="9"/>
  <c r="BUH77" i="9"/>
  <c r="BUH91" i="9"/>
  <c r="BUL71" i="9"/>
  <c r="BUJ90" i="9"/>
  <c r="BUJ76" i="9"/>
  <c r="BUI71" i="9"/>
  <c r="BUI90" i="9"/>
  <c r="BUI70" i="9"/>
  <c r="BUI75" i="9"/>
  <c r="BUI80" i="9"/>
  <c r="BUI69" i="9"/>
  <c r="BUI74" i="9"/>
  <c r="BUI73" i="9" s="1"/>
  <c r="BUI79" i="9"/>
  <c r="BUI85" i="9"/>
  <c r="BUI81" i="9"/>
  <c r="BUS33" i="9"/>
  <c r="BUR33" i="9"/>
  <c r="BUQ33" i="9"/>
  <c r="BUP33" i="9"/>
  <c r="BUO33" i="9"/>
  <c r="BUN33" i="9"/>
  <c r="BUM33" i="9"/>
  <c r="BUL33" i="9"/>
  <c r="BUK33" i="9"/>
  <c r="BUJ33" i="9"/>
  <c r="BUI33" i="9"/>
  <c r="BUH33" i="9"/>
  <c r="BUI3" i="9"/>
  <c r="BUJ3" i="9"/>
  <c r="BUK3" i="9"/>
  <c r="BUL3" i="9"/>
  <c r="BUM3" i="9"/>
  <c r="BUN3" i="9"/>
  <c r="BUO3" i="9"/>
  <c r="BUP3" i="9"/>
  <c r="BUQ3" i="9"/>
  <c r="BUR3" i="9"/>
  <c r="BUS3" i="9"/>
  <c r="BUH3" i="9"/>
  <c r="BUJ75" i="9" l="1"/>
  <c r="BUJ79" i="9"/>
  <c r="BUJ81" i="9"/>
  <c r="BUJ69" i="9"/>
  <c r="BUJ80" i="9"/>
  <c r="BUJ74" i="9"/>
  <c r="BUJ73" i="9" s="1"/>
  <c r="BUJ89" i="9"/>
  <c r="BUJ88" i="9" s="1"/>
  <c r="BUJ85" i="9"/>
  <c r="BUJ67" i="9"/>
  <c r="BUK85" i="9"/>
  <c r="BUK79" i="9"/>
  <c r="BUK74" i="9"/>
  <c r="BUK73" i="9" s="1"/>
  <c r="BUK69" i="9"/>
  <c r="BUK80" i="9"/>
  <c r="BUK75" i="9"/>
  <c r="BUK89" i="9"/>
  <c r="BUK88" i="9" s="1"/>
  <c r="BUK81" i="9"/>
  <c r="BUL68" i="9"/>
  <c r="BUK67" i="9"/>
  <c r="BYC8" i="9"/>
  <c r="BYA8" i="9"/>
  <c r="BYC7" i="9"/>
  <c r="BYA7" i="9"/>
  <c r="BYC6" i="9"/>
  <c r="BYA6" i="9"/>
  <c r="BYC5" i="9"/>
  <c r="BYA5" i="9"/>
  <c r="BYC4" i="9"/>
  <c r="BYA4" i="9"/>
  <c r="BYC3" i="9"/>
  <c r="BYA3" i="9"/>
  <c r="BYD8" i="9"/>
  <c r="BYD7" i="9"/>
  <c r="BYD6" i="9"/>
  <c r="BYD5" i="9"/>
  <c r="BYD4" i="9"/>
  <c r="BYD3" i="9"/>
  <c r="BYD2" i="9"/>
  <c r="BYC2" i="9"/>
  <c r="BYA2" i="9"/>
  <c r="BXZ4" i="9"/>
  <c r="BXZ2" i="9"/>
  <c r="BXZ6" i="9"/>
  <c r="BXZ7" i="9"/>
  <c r="BXZ3" i="9"/>
  <c r="BXZ8" i="9"/>
  <c r="BXZ5" i="9"/>
  <c r="BUL80" i="9" l="1"/>
  <c r="BUL75" i="9"/>
  <c r="BUL89" i="9"/>
  <c r="BUL88" i="9" s="1"/>
  <c r="BUL81" i="9"/>
  <c r="BUM68" i="9"/>
  <c r="BUL67" i="9"/>
  <c r="BUL85" i="9"/>
  <c r="BUL79" i="9"/>
  <c r="BUL74" i="9"/>
  <c r="BUL73" i="9" s="1"/>
  <c r="BUL69" i="9"/>
  <c r="G9" i="1"/>
  <c r="G11" i="1" s="1"/>
  <c r="G13" i="1" s="1"/>
  <c r="G14" i="1" s="1"/>
  <c r="H9" i="1"/>
  <c r="H11" i="1" s="1"/>
  <c r="H13" i="1" s="1"/>
  <c r="H14" i="1" s="1"/>
  <c r="I9" i="1"/>
  <c r="I11" i="1" s="1"/>
  <c r="I13" i="1" s="1"/>
  <c r="I14" i="1" s="1"/>
  <c r="V6" i="11"/>
  <c r="W6" i="11"/>
  <c r="X6" i="11"/>
  <c r="DR3" i="9" l="1"/>
  <c r="DS3" i="9" s="1"/>
  <c r="BUK94" i="9"/>
  <c r="BUL94" i="9"/>
  <c r="DW3" i="9"/>
  <c r="DX3" i="9" s="1"/>
  <c r="BUJ94" i="9"/>
  <c r="DM3" i="9"/>
  <c r="DN3" i="9" s="1"/>
  <c r="BUQ94" i="9"/>
  <c r="BUQ120" i="9" s="1"/>
  <c r="EV3" i="9"/>
  <c r="EW3" i="9" s="1"/>
  <c r="EQ3" i="9"/>
  <c r="ER3" i="9" s="1"/>
  <c r="BUP94" i="9"/>
  <c r="BUP120" i="9" s="1"/>
  <c r="BUO94" i="9"/>
  <c r="BUO120" i="9" s="1"/>
  <c r="EL3" i="9"/>
  <c r="EM3" i="9" s="1"/>
  <c r="EG3" i="9"/>
  <c r="EH3" i="9" s="1"/>
  <c r="BUN94" i="9"/>
  <c r="BUN120" i="9" s="1"/>
  <c r="BUM94" i="9"/>
  <c r="BUM120" i="9" s="1"/>
  <c r="EB3" i="9"/>
  <c r="EC3" i="9" s="1"/>
  <c r="BUM89" i="9"/>
  <c r="BUM88" i="9" s="1"/>
  <c r="BUM81" i="9"/>
  <c r="BUN68" i="9"/>
  <c r="BUM67" i="9"/>
  <c r="BUM85" i="9"/>
  <c r="BUM79" i="9"/>
  <c r="BUM74" i="9"/>
  <c r="BUM73" i="9" s="1"/>
  <c r="BUM69" i="9"/>
  <c r="BUM80" i="9"/>
  <c r="BUM75" i="9"/>
  <c r="BUR4" i="9"/>
  <c r="BUR34" i="9"/>
  <c r="BUJ34" i="9"/>
  <c r="BUJ47" i="9" s="1"/>
  <c r="BUJ4" i="9"/>
  <c r="BUP34" i="9"/>
  <c r="BUP4" i="9"/>
  <c r="BUH34" i="9"/>
  <c r="BUH4" i="9"/>
  <c r="BUN34" i="9"/>
  <c r="BUN4" i="9"/>
  <c r="BUQ4" i="9"/>
  <c r="BUQ34" i="9"/>
  <c r="BUI4" i="9"/>
  <c r="BUI34" i="9"/>
  <c r="BUL34" i="9"/>
  <c r="BUL4" i="9"/>
  <c r="BUS34" i="9"/>
  <c r="BUS4" i="9"/>
  <c r="BUO34" i="9"/>
  <c r="BUO4" i="9"/>
  <c r="BUK4" i="9"/>
  <c r="BUK34" i="9"/>
  <c r="BUM34" i="9"/>
  <c r="BUM4" i="9"/>
  <c r="BUG61" i="9"/>
  <c r="BUE61" i="9"/>
  <c r="BUG60" i="9"/>
  <c r="BUE60" i="9"/>
  <c r="BUG59" i="9"/>
  <c r="BUE59" i="9"/>
  <c r="BUG58" i="9"/>
  <c r="BUE58" i="9"/>
  <c r="BUG57" i="9"/>
  <c r="BUE57" i="9"/>
  <c r="BUG56" i="9"/>
  <c r="BUE56" i="9"/>
  <c r="BUG55" i="9"/>
  <c r="BUE55" i="9"/>
  <c r="BUG54" i="9"/>
  <c r="BUE54" i="9"/>
  <c r="BUG53" i="9"/>
  <c r="BUE53" i="9"/>
  <c r="BUG52" i="9"/>
  <c r="BUE52" i="9"/>
  <c r="BUG51" i="9"/>
  <c r="BUE51" i="9"/>
  <c r="BUG50" i="9"/>
  <c r="BUE50" i="9"/>
  <c r="BUG49" i="9"/>
  <c r="BUE49" i="9"/>
  <c r="BUG48" i="9"/>
  <c r="BUE48" i="9"/>
  <c r="BUG47" i="9"/>
  <c r="BUE47" i="9"/>
  <c r="BUG46" i="9"/>
  <c r="BUE46" i="9"/>
  <c r="BUG45" i="9"/>
  <c r="BUE45" i="9"/>
  <c r="BUG44" i="9"/>
  <c r="BUE44" i="9"/>
  <c r="BUG43" i="9"/>
  <c r="BUE43" i="9"/>
  <c r="BUG42" i="9"/>
  <c r="BUE42" i="9"/>
  <c r="BUG41" i="9"/>
  <c r="BUE41" i="9"/>
  <c r="BUG40" i="9"/>
  <c r="BUE40" i="9"/>
  <c r="BUG39" i="9"/>
  <c r="BUE39" i="9"/>
  <c r="BUG38" i="9"/>
  <c r="BUE38" i="9"/>
  <c r="BUG37" i="9"/>
  <c r="BUE37" i="9"/>
  <c r="BUG36" i="9"/>
  <c r="BUE36" i="9"/>
  <c r="BUG35" i="9"/>
  <c r="BUE35" i="9"/>
  <c r="BUG34" i="9"/>
  <c r="BUE34" i="9"/>
  <c r="BUG33" i="9"/>
  <c r="BUE33" i="9"/>
  <c r="BUI38" i="9"/>
  <c r="BUI59" i="9" s="1"/>
  <c r="BUI58" i="9" s="1"/>
  <c r="BUH59" i="9"/>
  <c r="BUH58" i="9" s="1"/>
  <c r="BUH55" i="9"/>
  <c r="BUH51" i="9"/>
  <c r="BUH50" i="9"/>
  <c r="BUH49" i="9"/>
  <c r="BUH45" i="9"/>
  <c r="BUH44" i="9"/>
  <c r="BUH43" i="9" s="1"/>
  <c r="BUH39" i="9"/>
  <c r="BUH37" i="9"/>
  <c r="BUG32" i="9"/>
  <c r="BUE32" i="9"/>
  <c r="BUG31" i="9"/>
  <c r="BUE31" i="9"/>
  <c r="BUG30" i="9"/>
  <c r="BUE30" i="9"/>
  <c r="BUG29" i="9"/>
  <c r="BUE29" i="9"/>
  <c r="BUG28" i="9"/>
  <c r="BUE28" i="9"/>
  <c r="BUG27" i="9"/>
  <c r="BUE27" i="9"/>
  <c r="BUG26" i="9"/>
  <c r="BUE26" i="9"/>
  <c r="BUG25" i="9"/>
  <c r="BUE25" i="9"/>
  <c r="BUG24" i="9"/>
  <c r="BUE24" i="9"/>
  <c r="BUG23" i="9"/>
  <c r="BUE23" i="9"/>
  <c r="BUG22" i="9"/>
  <c r="BUE22" i="9"/>
  <c r="BUG21" i="9"/>
  <c r="BUE21" i="9"/>
  <c r="BUG20" i="9"/>
  <c r="BUE20" i="9"/>
  <c r="BUG19" i="9"/>
  <c r="BUE19" i="9"/>
  <c r="BUG18" i="9"/>
  <c r="BUE18" i="9"/>
  <c r="BUG17" i="9"/>
  <c r="BUE17" i="9"/>
  <c r="BUG16" i="9"/>
  <c r="BUE16" i="9"/>
  <c r="BUG15" i="9"/>
  <c r="BUE15" i="9"/>
  <c r="BUG14" i="9"/>
  <c r="BUE14" i="9"/>
  <c r="BUG13" i="9"/>
  <c r="BUE13" i="9"/>
  <c r="BUG12" i="9"/>
  <c r="BUE12" i="9"/>
  <c r="BUG11" i="9"/>
  <c r="BUE11" i="9"/>
  <c r="BUG10" i="9"/>
  <c r="BUE10" i="9"/>
  <c r="BUG9" i="9"/>
  <c r="BUE9" i="9"/>
  <c r="BUG8" i="9"/>
  <c r="BUE8" i="9"/>
  <c r="BUG7" i="9"/>
  <c r="BUE7" i="9"/>
  <c r="BUG6" i="9"/>
  <c r="BUE6" i="9"/>
  <c r="BUG5" i="9"/>
  <c r="BUE5" i="9"/>
  <c r="BUG4" i="9"/>
  <c r="BUE4" i="9"/>
  <c r="BUG3" i="9"/>
  <c r="BUE3" i="9"/>
  <c r="BUI8" i="9"/>
  <c r="BUI29" i="9" s="1"/>
  <c r="BUI28" i="9" s="1"/>
  <c r="BUH29" i="9"/>
  <c r="BUH28" i="9" s="1"/>
  <c r="BUH25" i="9"/>
  <c r="BUH21" i="9"/>
  <c r="BUH20" i="9"/>
  <c r="BUH19" i="9"/>
  <c r="BUH15" i="9"/>
  <c r="BUH14" i="9"/>
  <c r="BUH13" i="9" s="1"/>
  <c r="BUH9" i="9"/>
  <c r="BUH7" i="9"/>
  <c r="BUG2" i="9"/>
  <c r="BUE2" i="9"/>
  <c r="BUD33" i="9"/>
  <c r="BUD36" i="9"/>
  <c r="BUD15" i="9"/>
  <c r="BUD37" i="9"/>
  <c r="BUD18" i="9"/>
  <c r="BUD11" i="9"/>
  <c r="BUD19" i="9"/>
  <c r="BUD43" i="9"/>
  <c r="BUD41" i="9"/>
  <c r="BUD58" i="9"/>
  <c r="BUD30" i="9"/>
  <c r="BUD31" i="9"/>
  <c r="BUD59" i="9"/>
  <c r="BUD22" i="9"/>
  <c r="BUD39" i="9"/>
  <c r="BUD27" i="9"/>
  <c r="BUD4" i="9"/>
  <c r="BUD3" i="9"/>
  <c r="BUD34" i="9"/>
  <c r="BUD17" i="9"/>
  <c r="BUD48" i="9"/>
  <c r="BUD42" i="9"/>
  <c r="BUD25" i="9"/>
  <c r="BUD55" i="9"/>
  <c r="BUD56" i="9"/>
  <c r="BUD61" i="9"/>
  <c r="BUD26" i="9"/>
  <c r="BUD60" i="9"/>
  <c r="BUD28" i="9"/>
  <c r="BUD10" i="9"/>
  <c r="BUD54" i="9"/>
  <c r="BUD13" i="9"/>
  <c r="BUD9" i="9"/>
  <c r="BUD6" i="9"/>
  <c r="BUD5" i="9"/>
  <c r="BUD52" i="9"/>
  <c r="BUD32" i="9"/>
  <c r="BUD51" i="9"/>
  <c r="BUD38" i="9"/>
  <c r="BUD35" i="9"/>
  <c r="BUD20" i="9"/>
  <c r="BUD8" i="9"/>
  <c r="BUD23" i="9"/>
  <c r="BUD57" i="9"/>
  <c r="BUD7" i="9"/>
  <c r="BUD50" i="9"/>
  <c r="BUD16" i="9"/>
  <c r="BUD2" i="9"/>
  <c r="BUD24" i="9"/>
  <c r="BUD44" i="9"/>
  <c r="BUD45" i="9"/>
  <c r="BUD14" i="9"/>
  <c r="BUD40" i="9"/>
  <c r="BUD46" i="9"/>
  <c r="BUD49" i="9"/>
  <c r="BUD47" i="9"/>
  <c r="BUD21" i="9"/>
  <c r="BUD53" i="9"/>
  <c r="BUD29" i="9"/>
  <c r="BUD12" i="9"/>
  <c r="BUJ106" i="9" l="1"/>
  <c r="BUJ107" i="9"/>
  <c r="BUJ100" i="9"/>
  <c r="BUJ101" i="9"/>
  <c r="BUJ121" i="9"/>
  <c r="BUL101" i="9"/>
  <c r="BUL100" i="9"/>
  <c r="BUL107" i="9"/>
  <c r="BUL121" i="9"/>
  <c r="BUL106" i="9"/>
  <c r="BUK101" i="9"/>
  <c r="BUK100" i="9"/>
  <c r="BUK121" i="9"/>
  <c r="BUK106" i="9"/>
  <c r="BUK107" i="9"/>
  <c r="EE3" i="9"/>
  <c r="ED3" i="9"/>
  <c r="EY3" i="9"/>
  <c r="EX3" i="9"/>
  <c r="BUM113" i="9"/>
  <c r="BUM106" i="9"/>
  <c r="BUM121" i="9"/>
  <c r="BUM101" i="9"/>
  <c r="BUM100" i="9"/>
  <c r="BUM107" i="9"/>
  <c r="BUQ113" i="9"/>
  <c r="BUQ100" i="9"/>
  <c r="BUQ106" i="9"/>
  <c r="BUQ121" i="9"/>
  <c r="BUQ107" i="9"/>
  <c r="BUQ101" i="9"/>
  <c r="BUN113" i="9"/>
  <c r="BUN106" i="9"/>
  <c r="BUN100" i="9"/>
  <c r="BUN101" i="9"/>
  <c r="BUN107" i="9"/>
  <c r="BUN121" i="9"/>
  <c r="DO3" i="9"/>
  <c r="DP3" i="9"/>
  <c r="EJ3" i="9"/>
  <c r="EI3" i="9"/>
  <c r="BUJ113" i="9"/>
  <c r="BUJ120" i="9"/>
  <c r="EO3" i="9"/>
  <c r="EN3" i="9"/>
  <c r="BUL113" i="9"/>
  <c r="BUL120" i="9"/>
  <c r="BUP113" i="9"/>
  <c r="BUP106" i="9"/>
  <c r="BUP121" i="9"/>
  <c r="BUP101" i="9"/>
  <c r="BUP100" i="9"/>
  <c r="BUP107" i="9"/>
  <c r="BUK113" i="9"/>
  <c r="BUK120" i="9"/>
  <c r="DY3" i="9"/>
  <c r="DZ3" i="9"/>
  <c r="BUO113" i="9"/>
  <c r="BUO101" i="9"/>
  <c r="BUO106" i="9"/>
  <c r="BUO107" i="9"/>
  <c r="BUO121" i="9"/>
  <c r="BUO100" i="9"/>
  <c r="ET3" i="9"/>
  <c r="ES3" i="9"/>
  <c r="DT3" i="9"/>
  <c r="DU3" i="9"/>
  <c r="BUN85" i="9"/>
  <c r="BUN79" i="9"/>
  <c r="BUN74" i="9"/>
  <c r="BUN73" i="9" s="1"/>
  <c r="BUN69" i="9"/>
  <c r="BUN80" i="9"/>
  <c r="BUN75" i="9"/>
  <c r="BUN89" i="9"/>
  <c r="BUN88" i="9" s="1"/>
  <c r="BUN81" i="9"/>
  <c r="BUO68" i="9"/>
  <c r="BUN67" i="9"/>
  <c r="BUI51" i="9"/>
  <c r="BUI44" i="9"/>
  <c r="BUI43" i="9" s="1"/>
  <c r="BUI39" i="9"/>
  <c r="BUI37" i="9"/>
  <c r="BUI50" i="9"/>
  <c r="BUI9" i="9"/>
  <c r="BUI45" i="9"/>
  <c r="BUI55" i="9"/>
  <c r="BUJ38" i="9"/>
  <c r="BUK38" i="9" s="1"/>
  <c r="BUK50" i="9" s="1"/>
  <c r="BUI49" i="9"/>
  <c r="BUI15" i="9"/>
  <c r="BUI20" i="9"/>
  <c r="BUI14" i="9"/>
  <c r="BUI13" i="9" s="1"/>
  <c r="BUI19" i="9"/>
  <c r="BUI25" i="9"/>
  <c r="BUI7" i="9"/>
  <c r="BUJ8" i="9"/>
  <c r="BUI21" i="9"/>
  <c r="AL4" i="5"/>
  <c r="CJW2" i="9" s="1"/>
  <c r="CJQ2" i="9"/>
  <c r="CJO2" i="9"/>
  <c r="AF2" i="9"/>
  <c r="V2" i="9"/>
  <c r="T2" i="9"/>
  <c r="H2" i="9"/>
  <c r="CJN2" i="9"/>
  <c r="S2" i="9"/>
  <c r="BUO85" i="9" l="1"/>
  <c r="BUO79" i="9"/>
  <c r="BUO74" i="9"/>
  <c r="BUO73" i="9" s="1"/>
  <c r="BUO69" i="9"/>
  <c r="BUO80" i="9"/>
  <c r="BUO75" i="9"/>
  <c r="BUO89" i="9"/>
  <c r="BUO88" i="9" s="1"/>
  <c r="BUO81" i="9"/>
  <c r="BUP68" i="9"/>
  <c r="BUO67" i="9"/>
  <c r="BUJ37" i="9"/>
  <c r="BUJ50" i="9"/>
  <c r="BUJ55" i="9"/>
  <c r="BUK55" i="9"/>
  <c r="BUK59" i="9"/>
  <c r="BUK58" i="9" s="1"/>
  <c r="BUJ51" i="9"/>
  <c r="BUK44" i="9"/>
  <c r="BUK43" i="9" s="1"/>
  <c r="BUK45" i="9"/>
  <c r="BUJ45" i="9"/>
  <c r="BUJ49" i="9"/>
  <c r="BUK39" i="9"/>
  <c r="BUK51" i="9"/>
  <c r="BUK37" i="9"/>
  <c r="BUJ39" i="9"/>
  <c r="BUJ59" i="9"/>
  <c r="BUJ58" i="9" s="1"/>
  <c r="BUJ44" i="9"/>
  <c r="BUJ43" i="9" s="1"/>
  <c r="BUK49" i="9"/>
  <c r="BUL38" i="9"/>
  <c r="BUL37" i="9" s="1"/>
  <c r="B2" i="9"/>
  <c r="C2" i="9" s="1"/>
  <c r="BG2" i="9" s="1"/>
  <c r="BUJ25" i="9"/>
  <c r="BUJ19" i="9"/>
  <c r="BUJ14" i="9"/>
  <c r="BUJ13" i="9" s="1"/>
  <c r="BUJ9" i="9"/>
  <c r="BUJ20" i="9"/>
  <c r="BUJ15" i="9"/>
  <c r="BUJ29" i="9"/>
  <c r="BUJ28" i="9" s="1"/>
  <c r="BUJ21" i="9"/>
  <c r="BUK8" i="9"/>
  <c r="BUJ7" i="9"/>
  <c r="AB2" i="9"/>
  <c r="BI2" i="9" s="1"/>
  <c r="D2" i="9"/>
  <c r="BF2" i="9" s="1"/>
  <c r="BUP80" i="9" l="1"/>
  <c r="BUP75" i="9"/>
  <c r="BUP89" i="9"/>
  <c r="BUP88" i="9" s="1"/>
  <c r="BUP81" i="9"/>
  <c r="BUQ68" i="9"/>
  <c r="BUP67" i="9"/>
  <c r="BUP85" i="9"/>
  <c r="BUP79" i="9"/>
  <c r="BUP74" i="9"/>
  <c r="BUP73" i="9" s="1"/>
  <c r="BUP69" i="9"/>
  <c r="BUL55" i="9"/>
  <c r="BUL49" i="9"/>
  <c r="BUL39" i="9"/>
  <c r="BUL59" i="9"/>
  <c r="BUL58" i="9" s="1"/>
  <c r="BUL45" i="9"/>
  <c r="BUL51" i="9"/>
  <c r="BUL44" i="9"/>
  <c r="BUL43" i="9" s="1"/>
  <c r="BUM38" i="9"/>
  <c r="BUM49" i="9" s="1"/>
  <c r="BUL50" i="9"/>
  <c r="BUK25" i="9"/>
  <c r="BUK19" i="9"/>
  <c r="BUK14" i="9"/>
  <c r="BUK13" i="9" s="1"/>
  <c r="BUK9" i="9"/>
  <c r="BUK20" i="9"/>
  <c r="BUK15" i="9"/>
  <c r="BUL8" i="9"/>
  <c r="BUK7" i="9"/>
  <c r="BUK29" i="9"/>
  <c r="BUK28" i="9" s="1"/>
  <c r="BUK21" i="9"/>
  <c r="E2" i="9"/>
  <c r="BE2" i="9" s="1"/>
  <c r="BUQ89" i="9" l="1"/>
  <c r="BUQ88" i="9" s="1"/>
  <c r="BUQ81" i="9"/>
  <c r="BUR68" i="9"/>
  <c r="BUQ67" i="9"/>
  <c r="BUQ85" i="9"/>
  <c r="BUQ79" i="9"/>
  <c r="BUQ74" i="9"/>
  <c r="BUQ73" i="9" s="1"/>
  <c r="BUQ69" i="9"/>
  <c r="BUQ80" i="9"/>
  <c r="BUQ75" i="9"/>
  <c r="BUN38" i="9"/>
  <c r="BUN49" i="9" s="1"/>
  <c r="BUM37" i="9"/>
  <c r="BUM44" i="9"/>
  <c r="BUM43" i="9" s="1"/>
  <c r="BUM39" i="9"/>
  <c r="BUM59" i="9"/>
  <c r="BUM58" i="9" s="1"/>
  <c r="BUM50" i="9"/>
  <c r="BUM55" i="9"/>
  <c r="BUM51" i="9"/>
  <c r="BUM45" i="9"/>
  <c r="BUL20" i="9"/>
  <c r="BUL15" i="9"/>
  <c r="BUL29" i="9"/>
  <c r="BUL28" i="9" s="1"/>
  <c r="BUL21" i="9"/>
  <c r="BUM8" i="9"/>
  <c r="BUL7" i="9"/>
  <c r="BUL25" i="9"/>
  <c r="BUL19" i="9"/>
  <c r="BUL14" i="9"/>
  <c r="BUL13" i="9" s="1"/>
  <c r="BUL9" i="9"/>
  <c r="AK3" i="5"/>
  <c r="R22" i="5"/>
  <c r="N22" i="5"/>
  <c r="F22" i="5"/>
  <c r="B22" i="5"/>
  <c r="R15" i="5"/>
  <c r="N15" i="5"/>
  <c r="F15" i="5"/>
  <c r="B15" i="5"/>
  <c r="BUO38" i="9" l="1"/>
  <c r="BUO50" i="9" s="1"/>
  <c r="BUN50" i="9"/>
  <c r="BUN37" i="9"/>
  <c r="BUN39" i="9"/>
  <c r="BUN51" i="9"/>
  <c r="BUN44" i="9"/>
  <c r="BUN43" i="9" s="1"/>
  <c r="BUN59" i="9"/>
  <c r="BUN58" i="9" s="1"/>
  <c r="BUN55" i="9"/>
  <c r="BUR85" i="9"/>
  <c r="BUR79" i="9"/>
  <c r="BUR74" i="9"/>
  <c r="BUR73" i="9" s="1"/>
  <c r="BUR69" i="9"/>
  <c r="BUR80" i="9"/>
  <c r="BUR75" i="9"/>
  <c r="BUR89" i="9"/>
  <c r="BUR88" i="9" s="1"/>
  <c r="BUR81" i="9"/>
  <c r="BUS68" i="9"/>
  <c r="BUR67" i="9"/>
  <c r="BUN45" i="9"/>
  <c r="BUO55" i="9"/>
  <c r="BUO49" i="9"/>
  <c r="BUM29" i="9"/>
  <c r="BUM28" i="9" s="1"/>
  <c r="BUM21" i="9"/>
  <c r="BUN8" i="9"/>
  <c r="BUM7" i="9"/>
  <c r="BUM25" i="9"/>
  <c r="BUM19" i="9"/>
  <c r="BUM14" i="9"/>
  <c r="BUM13" i="9" s="1"/>
  <c r="BUM9" i="9"/>
  <c r="BUM20" i="9"/>
  <c r="BUM15" i="9"/>
  <c r="I22" i="1"/>
  <c r="H22" i="1"/>
  <c r="G22" i="1"/>
  <c r="BUO59" i="9" l="1"/>
  <c r="BUO58" i="9" s="1"/>
  <c r="BUO45" i="9"/>
  <c r="BUO37" i="9"/>
  <c r="BUO39" i="9"/>
  <c r="BUO51" i="9"/>
  <c r="BUO44" i="9"/>
  <c r="BUO43" i="9" s="1"/>
  <c r="BUP38" i="9"/>
  <c r="BUP59" i="9" s="1"/>
  <c r="BUP58" i="9" s="1"/>
  <c r="BUS85" i="9"/>
  <c r="BUS79" i="9"/>
  <c r="BUS74" i="9"/>
  <c r="BUS73" i="9" s="1"/>
  <c r="BUS69" i="9"/>
  <c r="BUS80" i="9"/>
  <c r="BUS75" i="9"/>
  <c r="BUS89" i="9"/>
  <c r="BUS88" i="9" s="1"/>
  <c r="BUS81" i="9"/>
  <c r="BUS67" i="9"/>
  <c r="BUP44" i="9"/>
  <c r="BUP43" i="9" s="1"/>
  <c r="BUN25" i="9"/>
  <c r="BUN19" i="9"/>
  <c r="BUN14" i="9"/>
  <c r="BUN13" i="9" s="1"/>
  <c r="BUN9" i="9"/>
  <c r="BUN20" i="9"/>
  <c r="BUN15" i="9"/>
  <c r="BUN29" i="9"/>
  <c r="BUN28" i="9" s="1"/>
  <c r="BUN21" i="9"/>
  <c r="BUO8" i="9"/>
  <c r="BUN7" i="9"/>
  <c r="BUP37" i="9" l="1"/>
  <c r="BUP45" i="9"/>
  <c r="BUQ38" i="9"/>
  <c r="BUQ55" i="9" s="1"/>
  <c r="BUP39" i="9"/>
  <c r="BUP51" i="9"/>
  <c r="BUP49" i="9"/>
  <c r="BUP50" i="9"/>
  <c r="BUP55" i="9"/>
  <c r="BUO25" i="9"/>
  <c r="BUO19" i="9"/>
  <c r="BUO14" i="9"/>
  <c r="BUO13" i="9" s="1"/>
  <c r="BUO9" i="9"/>
  <c r="BUO20" i="9"/>
  <c r="BUO15" i="9"/>
  <c r="BUO29" i="9"/>
  <c r="BUO28" i="9" s="1"/>
  <c r="BUO21" i="9"/>
  <c r="BUP8" i="9"/>
  <c r="BUO7" i="9"/>
  <c r="BUQ37" i="9" l="1"/>
  <c r="BUQ39" i="9"/>
  <c r="BUQ44" i="9"/>
  <c r="BUQ43" i="9" s="1"/>
  <c r="BUQ59" i="9"/>
  <c r="BUQ58" i="9" s="1"/>
  <c r="BUQ49" i="9"/>
  <c r="BUR38" i="9"/>
  <c r="BUR39" i="9" s="1"/>
  <c r="BUQ45" i="9"/>
  <c r="BUQ51" i="9"/>
  <c r="BUQ50" i="9"/>
  <c r="BUR55" i="9"/>
  <c r="BUR49" i="9"/>
  <c r="BUR44" i="9"/>
  <c r="BUR43" i="9" s="1"/>
  <c r="BUR50" i="9"/>
  <c r="BUR45" i="9"/>
  <c r="BUR59" i="9"/>
  <c r="BUR58" i="9" s="1"/>
  <c r="BUR37" i="9"/>
  <c r="BUS38" i="9"/>
  <c r="BUP20" i="9"/>
  <c r="BUP15" i="9"/>
  <c r="BUP29" i="9"/>
  <c r="BUP28" i="9" s="1"/>
  <c r="BUP21" i="9"/>
  <c r="BUQ8" i="9"/>
  <c r="BUP7" i="9"/>
  <c r="BUP25" i="9"/>
  <c r="BUP19" i="9"/>
  <c r="BUP14" i="9"/>
  <c r="BUP13" i="9" s="1"/>
  <c r="BUP9" i="9"/>
  <c r="BUR51" i="9" l="1"/>
  <c r="BUS50" i="9"/>
  <c r="BUS45" i="9"/>
  <c r="BUS59" i="9"/>
  <c r="BUS58" i="9" s="1"/>
  <c r="BUS51" i="9"/>
  <c r="BUS37" i="9"/>
  <c r="BUS49" i="9"/>
  <c r="BUS44" i="9"/>
  <c r="BUS43" i="9" s="1"/>
  <c r="BUS39" i="9"/>
  <c r="BUS55" i="9"/>
  <c r="BUQ29" i="9"/>
  <c r="BUQ28" i="9" s="1"/>
  <c r="BUQ21" i="9"/>
  <c r="BUR8" i="9"/>
  <c r="BUQ7" i="9"/>
  <c r="BUQ25" i="9"/>
  <c r="BUQ19" i="9"/>
  <c r="BUQ14" i="9"/>
  <c r="BUQ13" i="9" s="1"/>
  <c r="BUQ9" i="9"/>
  <c r="BUQ20" i="9"/>
  <c r="BUQ15" i="9"/>
  <c r="M7" i="1"/>
  <c r="L15" i="1" l="1"/>
  <c r="G7" i="11" s="1"/>
  <c r="L20" i="1"/>
  <c r="L16" i="1"/>
  <c r="L14" i="1"/>
  <c r="L13" i="1"/>
  <c r="L17" i="1"/>
  <c r="J21" i="1"/>
  <c r="J15" i="1"/>
  <c r="J8" i="1"/>
  <c r="D5" i="10" s="1"/>
  <c r="BYE3" i="9" s="1"/>
  <c r="J10" i="1"/>
  <c r="L10" i="1"/>
  <c r="L8" i="1"/>
  <c r="L21" i="1"/>
  <c r="BUR25" i="9"/>
  <c r="BUR19" i="9"/>
  <c r="BUR14" i="9"/>
  <c r="BUR13" i="9" s="1"/>
  <c r="BUR9" i="9"/>
  <c r="BUR20" i="9"/>
  <c r="BUR15" i="9"/>
  <c r="BUR29" i="9"/>
  <c r="BUR28" i="9" s="1"/>
  <c r="BUR21" i="9"/>
  <c r="BUS8" i="9"/>
  <c r="BUR7" i="9"/>
  <c r="BUS31" i="9" l="1"/>
  <c r="BUR16" i="9"/>
  <c r="BUQ11" i="9"/>
  <c r="BUP23" i="9"/>
  <c r="BUO17" i="9"/>
  <c r="BUN31" i="9"/>
  <c r="BUM11" i="9"/>
  <c r="BUL31" i="9"/>
  <c r="BUK11" i="9"/>
  <c r="BUJ10" i="9"/>
  <c r="BUI23" i="9"/>
  <c r="BUH10" i="9"/>
  <c r="BUS23" i="9"/>
  <c r="BUS25" i="9"/>
  <c r="BUS19" i="9"/>
  <c r="BUS14" i="9"/>
  <c r="BUS13" i="9" s="1"/>
  <c r="BUS9" i="9"/>
  <c r="BUS7" i="9"/>
  <c r="BUS20" i="9"/>
  <c r="BUS15" i="9"/>
  <c r="BUS29" i="9"/>
  <c r="BUS28" i="9" s="1"/>
  <c r="BUS21" i="9"/>
  <c r="I24" i="1"/>
  <c r="I37" i="1"/>
  <c r="H24" i="1"/>
  <c r="H37" i="1"/>
  <c r="G24" i="1"/>
  <c r="G37" i="1"/>
  <c r="BUP30" i="9" l="1"/>
  <c r="BUS30" i="9"/>
  <c r="BUM17" i="9"/>
  <c r="BUJ16" i="9"/>
  <c r="BUL30" i="9"/>
  <c r="BUH16" i="9"/>
  <c r="BUO16" i="9"/>
  <c r="BUK23" i="9"/>
  <c r="BUO11" i="9"/>
  <c r="BUQ17" i="9"/>
  <c r="BUI10" i="9"/>
  <c r="BUM30" i="9"/>
  <c r="BUO23" i="9"/>
  <c r="BUS17" i="9"/>
  <c r="BUI16" i="9"/>
  <c r="BUM10" i="9"/>
  <c r="BUO31" i="9"/>
  <c r="BUQ16" i="9"/>
  <c r="BUS10" i="9"/>
  <c r="BUM31" i="9"/>
  <c r="BUM23" i="9"/>
  <c r="BUS16" i="9"/>
  <c r="BUK17" i="9"/>
  <c r="BUS11" i="9"/>
  <c r="BUH17" i="9"/>
  <c r="BUH23" i="9"/>
  <c r="BUJ17" i="9"/>
  <c r="BUL17" i="9"/>
  <c r="BUN23" i="9"/>
  <c r="BUR23" i="9"/>
  <c r="BUH31" i="9"/>
  <c r="BUJ23" i="9"/>
  <c r="BUL11" i="9"/>
  <c r="BUN30" i="9"/>
  <c r="BUP10" i="9"/>
  <c r="BUR17" i="9"/>
  <c r="BUS53" i="9"/>
  <c r="BUS46" i="9"/>
  <c r="BUS47" i="9"/>
  <c r="BUS60" i="9"/>
  <c r="BUS40" i="9"/>
  <c r="BUS41" i="9"/>
  <c r="BUS61" i="9"/>
  <c r="BUH30" i="9"/>
  <c r="BUJ31" i="9"/>
  <c r="BUL16" i="9"/>
  <c r="BUN11" i="9"/>
  <c r="BUP17" i="9"/>
  <c r="BUR30" i="9"/>
  <c r="BUH11" i="9"/>
  <c r="BUJ30" i="9"/>
  <c r="BUL10" i="9"/>
  <c r="BUL23" i="9"/>
  <c r="BUN10" i="9"/>
  <c r="BUP16" i="9"/>
  <c r="BUP11" i="9"/>
  <c r="BUR11" i="9"/>
  <c r="BUR10" i="9"/>
  <c r="BUJ11" i="9"/>
  <c r="BUN17" i="9"/>
  <c r="BUP31" i="9"/>
  <c r="BUR31" i="9"/>
  <c r="BUR53" i="9"/>
  <c r="BUR41" i="9"/>
  <c r="BUR40" i="9"/>
  <c r="BUR61" i="9"/>
  <c r="BUR47" i="9"/>
  <c r="BUR46" i="9"/>
  <c r="BUR60" i="9"/>
  <c r="BUQ31" i="9"/>
  <c r="BUQ10" i="9"/>
  <c r="BUO30" i="9"/>
  <c r="BUQ30" i="9"/>
  <c r="BUQ23" i="9"/>
  <c r="BUM16" i="9"/>
  <c r="BUO10" i="9"/>
  <c r="BUQ53" i="9"/>
  <c r="BUQ46" i="9"/>
  <c r="BUQ60" i="9"/>
  <c r="BUQ40" i="9"/>
  <c r="BUQ61" i="9"/>
  <c r="BUQ47" i="9"/>
  <c r="BUQ41" i="9"/>
  <c r="BUP53" i="9"/>
  <c r="BUP46" i="9"/>
  <c r="BUP41" i="9"/>
  <c r="BUP40" i="9"/>
  <c r="BUP47" i="9"/>
  <c r="BUP61" i="9"/>
  <c r="BUP60" i="9"/>
  <c r="BUO53" i="9"/>
  <c r="BUO46" i="9"/>
  <c r="BUO47" i="9"/>
  <c r="BUO60" i="9"/>
  <c r="BUO40" i="9"/>
  <c r="BUO41" i="9"/>
  <c r="BUO61" i="9"/>
  <c r="BUN16" i="9"/>
  <c r="BUN53" i="9"/>
  <c r="BUN41" i="9"/>
  <c r="BUN60" i="9"/>
  <c r="BUN40" i="9"/>
  <c r="BUN61" i="9"/>
  <c r="BUN47" i="9"/>
  <c r="BUN46" i="9"/>
  <c r="BUM53" i="9"/>
  <c r="BUM46" i="9"/>
  <c r="BUM60" i="9"/>
  <c r="BUM40" i="9"/>
  <c r="BUM61" i="9"/>
  <c r="BUM47" i="9"/>
  <c r="BUM41" i="9"/>
  <c r="BUI17" i="9"/>
  <c r="BUK16" i="9"/>
  <c r="BUK31" i="9"/>
  <c r="BUI31" i="9"/>
  <c r="BUI11" i="9"/>
  <c r="BUK10" i="9"/>
  <c r="BUL53" i="9"/>
  <c r="BUL47" i="9"/>
  <c r="BUL46" i="9"/>
  <c r="BUL41" i="9"/>
  <c r="BUL60" i="9"/>
  <c r="BUL40" i="9"/>
  <c r="BUL61" i="9"/>
  <c r="BUI30" i="9"/>
  <c r="BUK30" i="9"/>
  <c r="BUK53" i="9"/>
  <c r="BUK46" i="9"/>
  <c r="BUK47" i="9"/>
  <c r="BUK40" i="9"/>
  <c r="BUK41" i="9"/>
  <c r="BUK61" i="9"/>
  <c r="BUK60" i="9"/>
  <c r="BUJ53" i="9"/>
  <c r="BUJ41" i="9"/>
  <c r="BUJ61" i="9"/>
  <c r="BUJ60" i="9"/>
  <c r="BUJ46" i="9"/>
  <c r="BUJ40" i="9"/>
  <c r="BUI53" i="9"/>
  <c r="BUI46" i="9"/>
  <c r="BUI61" i="9"/>
  <c r="BUI40" i="9"/>
  <c r="BUI60" i="9"/>
  <c r="BUI41" i="9"/>
  <c r="BUI47" i="9"/>
  <c r="BUH53" i="9"/>
  <c r="BUH47" i="9"/>
  <c r="BUH61" i="9"/>
  <c r="BUH60" i="9"/>
  <c r="BUH41" i="9"/>
  <c r="BUH40" i="9"/>
  <c r="BUH46" i="9"/>
  <c r="AB10" i="5" l="1"/>
  <c r="D7" i="10" l="1"/>
  <c r="BYE5" i="9" s="1"/>
  <c r="F17" i="5" l="1"/>
  <c r="J37" i="1" l="1"/>
  <c r="B19" i="12" l="1"/>
  <c r="B12" i="12"/>
  <c r="B9" i="12" s="1"/>
  <c r="B15" i="12" l="1"/>
  <c r="B26" i="12"/>
  <c r="B23" i="12"/>
  <c r="F23" i="1"/>
  <c r="J23" i="1" s="1"/>
  <c r="AC23" i="5" s="1"/>
  <c r="AC24" i="5" s="1"/>
  <c r="D19" i="12"/>
  <c r="I19" i="12" s="1"/>
  <c r="E19" i="18"/>
  <c r="M26" i="13"/>
  <c r="Z8" i="21" s="1"/>
  <c r="AA8" i="21" s="1"/>
  <c r="AB8" i="21" s="1"/>
  <c r="AC8" i="21" s="1"/>
  <c r="H19" i="12" l="1"/>
  <c r="M9" i="21"/>
  <c r="D26" i="12"/>
  <c r="D23" i="12"/>
  <c r="F24" i="1"/>
  <c r="L23" i="1"/>
  <c r="D9" i="17" l="1"/>
  <c r="D11" i="17" s="1"/>
  <c r="F19" i="21"/>
  <c r="H23" i="12"/>
  <c r="I23" i="12"/>
  <c r="D27" i="12"/>
  <c r="I26" i="12"/>
  <c r="H26" i="12"/>
  <c r="J24" i="1"/>
  <c r="H42" i="11" s="1"/>
  <c r="H43" i="11" s="1"/>
  <c r="L24" i="1"/>
  <c r="F20" i="21" l="1"/>
  <c r="F7" i="1"/>
  <c r="D25" i="17"/>
  <c r="J42" i="11"/>
  <c r="J43" i="11" s="1"/>
  <c r="G14" i="11"/>
  <c r="H27" i="12"/>
  <c r="I27" i="12"/>
  <c r="D27" i="17" l="1"/>
  <c r="E15" i="18"/>
  <c r="L7" i="1"/>
  <c r="G4" i="11" s="1"/>
  <c r="U5" i="11"/>
  <c r="J7" i="1"/>
  <c r="B17" i="5" s="1"/>
  <c r="F9" i="1"/>
  <c r="F22" i="1"/>
  <c r="F21" i="21"/>
  <c r="T10" i="21" l="1"/>
  <c r="F22" i="21"/>
  <c r="T9" i="21" s="1"/>
  <c r="DG3" i="9"/>
  <c r="DI3" i="9" s="1"/>
  <c r="BUI93" i="9"/>
  <c r="J22" i="1"/>
  <c r="C42" i="11" s="1"/>
  <c r="C43" i="11" s="1"/>
  <c r="L22" i="1"/>
  <c r="G13" i="11" s="1"/>
  <c r="AB13" i="5"/>
  <c r="D4" i="10"/>
  <c r="BYE2" i="9" s="1"/>
  <c r="BYG2" i="9" s="1"/>
  <c r="J9" i="1"/>
  <c r="D6" i="10" s="1"/>
  <c r="BYE4" i="9" s="1"/>
  <c r="BYF4" i="9" s="1"/>
  <c r="F11" i="1"/>
  <c r="L9" i="1"/>
  <c r="E34" i="20"/>
  <c r="E35" i="20" s="1"/>
  <c r="E46" i="20" s="1"/>
  <c r="E48" i="20" s="1"/>
  <c r="D28" i="17"/>
  <c r="E9" i="18"/>
  <c r="F20" i="1" s="1"/>
  <c r="BYF2" i="9" l="1"/>
  <c r="BYH3" i="9" s="1"/>
  <c r="D29" i="17"/>
  <c r="F12" i="1" s="1"/>
  <c r="BUI100" i="9"/>
  <c r="BUI107" i="9"/>
  <c r="BUI120" i="9"/>
  <c r="BUI106" i="9"/>
  <c r="BUI121" i="9"/>
  <c r="BUI101" i="9"/>
  <c r="G12" i="11"/>
  <c r="J20" i="1"/>
  <c r="R17" i="5" s="1"/>
  <c r="DJ3" i="9"/>
  <c r="DK3" i="9"/>
  <c r="L11" i="1"/>
  <c r="J11" i="1"/>
  <c r="D8" i="10" s="1"/>
  <c r="BYE6" i="9" s="1"/>
  <c r="BYF6" i="9" s="1"/>
  <c r="D15" i="16"/>
  <c r="T20" i="21"/>
  <c r="U9" i="21"/>
  <c r="D23" i="16"/>
  <c r="Z9" i="21"/>
  <c r="M15" i="15"/>
  <c r="BYF3" i="9" l="1"/>
  <c r="BYI3" i="9" s="1"/>
  <c r="BYJ3" i="9" s="1"/>
  <c r="D30" i="17"/>
  <c r="E20" i="18" s="1"/>
  <c r="F17" i="1" s="1"/>
  <c r="D26" i="16"/>
  <c r="J12" i="1"/>
  <c r="D9" i="10" s="1"/>
  <c r="BYE7" i="9" s="1"/>
  <c r="L12" i="1"/>
  <c r="F13" i="1"/>
  <c r="E18" i="18"/>
  <c r="F18" i="1" s="1"/>
  <c r="E17" i="18"/>
  <c r="D25" i="16"/>
  <c r="E6" i="18"/>
  <c r="E13" i="18"/>
  <c r="F16" i="1" s="1"/>
  <c r="M20" i="15"/>
  <c r="M22" i="15" s="1"/>
  <c r="V9" i="21"/>
  <c r="U20" i="21"/>
  <c r="E15" i="16"/>
  <c r="E26" i="16" s="1"/>
  <c r="D18" i="16"/>
  <c r="E14" i="18" s="1"/>
  <c r="BYH4" i="9" l="1"/>
  <c r="BYI4" i="9"/>
  <c r="E12" i="18"/>
  <c r="E10" i="18"/>
  <c r="D10" i="10"/>
  <c r="E7" i="18"/>
  <c r="E11" i="18"/>
  <c r="F19" i="1" s="1"/>
  <c r="G9" i="11"/>
  <c r="J17" i="1"/>
  <c r="N24" i="5" s="1"/>
  <c r="J18" i="1"/>
  <c r="R24" i="5" s="1"/>
  <c r="L18" i="1"/>
  <c r="G10" i="11" s="1"/>
  <c r="E18" i="16"/>
  <c r="F15" i="16"/>
  <c r="F26" i="16" s="1"/>
  <c r="W9" i="21"/>
  <c r="V20" i="21"/>
  <c r="G5" i="11"/>
  <c r="J13" i="1"/>
  <c r="B24" i="5" s="1"/>
  <c r="F14" i="1"/>
  <c r="J16" i="1"/>
  <c r="F24" i="5" s="1"/>
  <c r="G8" i="11"/>
  <c r="H7" i="15"/>
  <c r="H22" i="15" s="1"/>
  <c r="N20" i="15" s="1"/>
  <c r="N22" i="15" s="1"/>
  <c r="Z7" i="21"/>
  <c r="Z20" i="21" s="1"/>
  <c r="T25" i="21" s="1"/>
  <c r="E51" i="20"/>
  <c r="BYJ4" i="9" l="1"/>
  <c r="BYH5" i="9"/>
  <c r="BYF5" i="9"/>
  <c r="BYH6" i="9" s="1"/>
  <c r="E16" i="18"/>
  <c r="F11" i="18"/>
  <c r="F7" i="18"/>
  <c r="F14" i="18"/>
  <c r="J14" i="1"/>
  <c r="G6" i="11"/>
  <c r="F50" i="20"/>
  <c r="E52" i="20"/>
  <c r="W20" i="21"/>
  <c r="G15" i="16"/>
  <c r="G26" i="16" s="1"/>
  <c r="F51" i="20"/>
  <c r="G50" i="20" s="1"/>
  <c r="I7" i="15"/>
  <c r="I22" i="15" s="1"/>
  <c r="O20" i="15" s="1"/>
  <c r="O22" i="15" s="1"/>
  <c r="AA7" i="21"/>
  <c r="AA20" i="21" s="1"/>
  <c r="U25" i="21" s="1"/>
  <c r="F18" i="16"/>
  <c r="BYI6" i="9" l="1"/>
  <c r="BYJ6" i="9" s="1"/>
  <c r="BYI5" i="9"/>
  <c r="BYJ5" i="9" s="1"/>
  <c r="F52" i="20"/>
  <c r="AK4" i="5"/>
  <c r="AL3" i="5"/>
  <c r="G19" i="11"/>
  <c r="G11" i="18"/>
  <c r="G7" i="18"/>
  <c r="G14" i="18"/>
  <c r="AB7" i="21"/>
  <c r="AB20" i="21" s="1"/>
  <c r="V25" i="21" s="1"/>
  <c r="G51" i="20"/>
  <c r="H50" i="20" s="1"/>
  <c r="J7" i="15"/>
  <c r="J22" i="15" s="1"/>
  <c r="P20" i="15" s="1"/>
  <c r="P22" i="15" s="1"/>
  <c r="G18" i="16"/>
  <c r="G19" i="1"/>
  <c r="F16" i="18"/>
  <c r="BYF7" i="9" l="1"/>
  <c r="BYI7" i="9" s="1"/>
  <c r="BYH7" i="9"/>
  <c r="G52" i="20"/>
  <c r="H7" i="18"/>
  <c r="H14" i="18"/>
  <c r="H11" i="18"/>
  <c r="G16" i="18"/>
  <c r="H19" i="1"/>
  <c r="N38" i="11"/>
  <c r="G15" i="11" s="1"/>
  <c r="CJS3" i="9"/>
  <c r="CJR3" i="9"/>
  <c r="CJY3" i="9" s="1"/>
  <c r="CJZ3" i="9" s="1"/>
  <c r="AC7" i="21"/>
  <c r="AC20" i="21" s="1"/>
  <c r="W25" i="21" s="1"/>
  <c r="H51" i="20"/>
  <c r="H52" i="20" s="1"/>
  <c r="CJS2" i="9"/>
  <c r="CJR2" i="9"/>
  <c r="CJY2" i="9" s="1"/>
  <c r="CJZ2" i="9" s="1"/>
  <c r="Z2" i="9"/>
  <c r="BYG8" i="9" l="1"/>
  <c r="BYJ7" i="9"/>
  <c r="CJU2" i="9"/>
  <c r="CJV2" i="9" s="1"/>
  <c r="CJU3" i="9"/>
  <c r="CJV3" i="9" s="1"/>
  <c r="AG2" i="9"/>
  <c r="AA2" i="9"/>
  <c r="I19" i="1"/>
  <c r="L19" i="1" s="1"/>
  <c r="H16" i="18"/>
  <c r="G11" i="11" l="1"/>
  <c r="J19" i="1"/>
  <c r="N17" i="5" s="1"/>
  <c r="AC2" i="9"/>
  <c r="BH2" i="9" s="1"/>
  <c r="BJ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D12" authorId="0" shapeId="0" xr:uid="{F3E30F96-A779-4014-92F2-828D806720EB}">
      <text>
        <r>
          <rPr>
            <b/>
            <sz val="9"/>
            <color indexed="81"/>
            <rFont val="Tahoma"/>
            <family val="2"/>
          </rPr>
          <t>DELL:</t>
        </r>
        <r>
          <rPr>
            <sz val="9"/>
            <color indexed="81"/>
            <rFont val="Tahoma"/>
            <family val="2"/>
          </rPr>
          <t xml:space="preserve">
CAGR IS TAKEN AS 5.5% 
- GENERAL GLOBAL GROWTH RATE IS 10-13%. 
- </t>
        </r>
        <r>
          <rPr>
            <b/>
            <sz val="9"/>
            <color indexed="81"/>
            <rFont val="Tahoma"/>
            <family val="2"/>
          </rPr>
          <t xml:space="preserve">COMPETITORS:
    </t>
        </r>
        <r>
          <rPr>
            <sz val="9"/>
            <color indexed="81"/>
            <rFont val="Tahoma"/>
            <family val="2"/>
          </rPr>
          <t xml:space="preserve"> MONOPOLY HISTORICAL GROWTH RATE HAS BEEN 8.7%
*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C10" authorId="0" shapeId="0" xr:uid="{EFD5BF71-7896-4413-9A36-75EDB3CD3177}">
      <text>
        <r>
          <rPr>
            <b/>
            <sz val="9"/>
            <color indexed="81"/>
            <rFont val="Tahoma"/>
            <family val="2"/>
          </rPr>
          <t>DELL: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C6" authorId="0" shapeId="0" xr:uid="{1683E9D6-2768-4E30-9156-16EDDC8ABEDE}">
      <text>
        <r>
          <rPr>
            <b/>
            <sz val="9"/>
            <color indexed="81"/>
            <rFont val="Tahoma"/>
            <family val="2"/>
          </rPr>
          <t>DELL:</t>
        </r>
        <r>
          <rPr>
            <sz val="9"/>
            <color indexed="81"/>
            <rFont val="Tahoma"/>
            <family val="2"/>
          </rPr>
          <t xml:space="preserve">
Here the current liablities for Year 1, year 3, Year 4 and Year 5 is NIL. And Because of the stated reason the current ratio is not defined for these years. </t>
        </r>
      </text>
    </comment>
    <comment ref="C15" authorId="0" shapeId="0" xr:uid="{B4211DE8-E379-4F61-8B87-E58D5A5B8C93}">
      <text>
        <r>
          <rPr>
            <b/>
            <sz val="9"/>
            <color indexed="81"/>
            <rFont val="Tahoma"/>
            <family val="2"/>
          </rPr>
          <t>DELL:</t>
        </r>
        <r>
          <rPr>
            <sz val="9"/>
            <color indexed="81"/>
            <rFont val="Tahoma"/>
            <family val="2"/>
          </rPr>
          <t xml:space="preserve">
Here the Interest for the Year 3, Year 4 &amp; Year 5 are NIL, and for the stated reason the Interest coverage ratio for the years are not defined.  </t>
        </r>
      </text>
    </comment>
    <comment ref="C17" authorId="0" shapeId="0" xr:uid="{BECEFCDA-44F4-4C67-99B5-97362B7B220D}">
      <text>
        <r>
          <rPr>
            <b/>
            <sz val="9"/>
            <color indexed="81"/>
            <rFont val="Tahoma"/>
            <family val="2"/>
          </rPr>
          <t>DELL:</t>
        </r>
        <r>
          <rPr>
            <sz val="9"/>
            <color indexed="81"/>
            <rFont val="Tahoma"/>
            <family val="2"/>
          </rPr>
          <t xml:space="preserve">
For the year 1,year 3, Year 4 &amp; Year 5 the current liablities is NIL for stated years and therefore the ratio is not defined for the said years. </t>
        </r>
      </text>
    </comment>
  </commentList>
</comments>
</file>

<file path=xl/sharedStrings.xml><?xml version="1.0" encoding="utf-8"?>
<sst xmlns="http://schemas.openxmlformats.org/spreadsheetml/2006/main" count="1088" uniqueCount="532">
  <si>
    <t>JAN</t>
  </si>
  <si>
    <t>FEB</t>
  </si>
  <si>
    <t>MAR</t>
  </si>
  <si>
    <t>APR</t>
  </si>
  <si>
    <t>MAY</t>
  </si>
  <si>
    <t>Months</t>
  </si>
  <si>
    <t>Total</t>
  </si>
  <si>
    <t>ID</t>
  </si>
  <si>
    <t>Indicator Name</t>
  </si>
  <si>
    <t>Cost of Goods Sold</t>
  </si>
  <si>
    <t xml:space="preserve">Gross Profit </t>
  </si>
  <si>
    <t xml:space="preserve">Taxes    </t>
  </si>
  <si>
    <t xml:space="preserve">Net Profit   </t>
  </si>
  <si>
    <t>Net Profit Margin %</t>
  </si>
  <si>
    <t>All</t>
  </si>
  <si>
    <t>Income Statement</t>
  </si>
  <si>
    <t xml:space="preserve">Total Operating Expenses  </t>
  </si>
  <si>
    <t>% Net Profit Target</t>
  </si>
  <si>
    <t>Income Budget</t>
  </si>
  <si>
    <t>Expenses Budget</t>
  </si>
  <si>
    <t>% of Income Budget</t>
  </si>
  <si>
    <t>% of Expenses Budget</t>
  </si>
  <si>
    <t>Total Income</t>
  </si>
  <si>
    <t>Budget</t>
  </si>
  <si>
    <t>Balance</t>
  </si>
  <si>
    <t>Gauge Chart Name:</t>
  </si>
  <si>
    <t>AV</t>
  </si>
  <si>
    <t>min</t>
  </si>
  <si>
    <t>max</t>
  </si>
  <si>
    <t>diff</t>
  </si>
  <si>
    <t>Format</t>
  </si>
  <si>
    <t>Decimals</t>
  </si>
  <si>
    <t>Labels size</t>
  </si>
  <si>
    <t>AV size</t>
  </si>
  <si>
    <t>ref 2E</t>
  </si>
  <si>
    <t>ref 1E</t>
  </si>
  <si>
    <t>color 1</t>
  </si>
  <si>
    <t>color 2</t>
  </si>
  <si>
    <t>color 3</t>
  </si>
  <si>
    <t>Skin</t>
  </si>
  <si>
    <t>Sheet Name</t>
  </si>
  <si>
    <t>Sheet Index</t>
  </si>
  <si>
    <t>Attached</t>
  </si>
  <si>
    <t>Reference</t>
  </si>
  <si>
    <t>color AV</t>
  </si>
  <si>
    <t>Description</t>
  </si>
  <si>
    <t>Size</t>
  </si>
  <si>
    <t>PV</t>
  </si>
  <si>
    <t>TextBoxDiff</t>
  </si>
  <si>
    <t>color PV</t>
  </si>
  <si>
    <t>ref 4S</t>
  </si>
  <si>
    <t>ref 4E</t>
  </si>
  <si>
    <t>ref 5E</t>
  </si>
  <si>
    <t>ref 6E</t>
  </si>
  <si>
    <t>ref 7E</t>
  </si>
  <si>
    <t>ref 8E</t>
  </si>
  <si>
    <t>ref 9E</t>
  </si>
  <si>
    <t>ref 10E</t>
  </si>
  <si>
    <t>ref 11E</t>
  </si>
  <si>
    <t>ref 12E</t>
  </si>
  <si>
    <t>color 4</t>
  </si>
  <si>
    <t>color 5</t>
  </si>
  <si>
    <t>color 6</t>
  </si>
  <si>
    <t>color 7</t>
  </si>
  <si>
    <t>color 8</t>
  </si>
  <si>
    <t>color 9</t>
  </si>
  <si>
    <t>color 10</t>
  </si>
  <si>
    <t>color 11</t>
  </si>
  <si>
    <t>color 12</t>
  </si>
  <si>
    <t>Zones Count</t>
  </si>
  <si>
    <t>Hform</t>
  </si>
  <si>
    <t>Reverse?</t>
  </si>
  <si>
    <t>color LB</t>
  </si>
  <si>
    <t>color A</t>
  </si>
  <si>
    <t>color D</t>
  </si>
  <si>
    <t>Variance Chart Name:</t>
  </si>
  <si>
    <t>Data 1</t>
  </si>
  <si>
    <t>Data 2</t>
  </si>
  <si>
    <t>Diff</t>
  </si>
  <si>
    <t>Series 1</t>
  </si>
  <si>
    <t>Series 2</t>
  </si>
  <si>
    <t>Sales Funnel Chart Name:</t>
  </si>
  <si>
    <t>TL Chart Name:</t>
  </si>
  <si>
    <t>Green</t>
  </si>
  <si>
    <t>Yellow</t>
  </si>
  <si>
    <t>AV Val.</t>
  </si>
  <si>
    <t>Size 1</t>
  </si>
  <si>
    <t>Size 2</t>
  </si>
  <si>
    <t>Size 3</t>
  </si>
  <si>
    <t>ForeColor</t>
  </si>
  <si>
    <t>Border</t>
  </si>
  <si>
    <t>Off Light</t>
  </si>
  <si>
    <t>Text</t>
  </si>
  <si>
    <t>Color 1</t>
  </si>
  <si>
    <t>Color 2</t>
  </si>
  <si>
    <t>Color 3</t>
  </si>
  <si>
    <t>Model</t>
  </si>
  <si>
    <t>Minim</t>
  </si>
  <si>
    <t>Maxim</t>
  </si>
  <si>
    <t>VarianceActualHorizontal:</t>
  </si>
  <si>
    <t>WaterFallChart Name:</t>
  </si>
  <si>
    <t>Labels</t>
  </si>
  <si>
    <t>Values</t>
  </si>
  <si>
    <t>Cumulative</t>
  </si>
  <si>
    <t>Start - End</t>
  </si>
  <si>
    <t>Before</t>
  </si>
  <si>
    <t>After</t>
  </si>
  <si>
    <t>Data label position</t>
  </si>
  <si>
    <t>MekkoChart Name:</t>
  </si>
  <si>
    <t>OrgChart Name:</t>
  </si>
  <si>
    <t>RadialBarChart Name:</t>
  </si>
  <si>
    <t>MaxValue</t>
  </si>
  <si>
    <t>Value 1</t>
  </si>
  <si>
    <t>Desc 1</t>
  </si>
  <si>
    <t>v 1</t>
  </si>
  <si>
    <t>i 1</t>
  </si>
  <si>
    <t>Value 2</t>
  </si>
  <si>
    <t>Desc 2</t>
  </si>
  <si>
    <t>v 2</t>
  </si>
  <si>
    <t>i 2</t>
  </si>
  <si>
    <t>Value 3</t>
  </si>
  <si>
    <t>Desc 3</t>
  </si>
  <si>
    <t>v 3</t>
  </si>
  <si>
    <t>i 3</t>
  </si>
  <si>
    <t>Value 4</t>
  </si>
  <si>
    <t>Desc 4</t>
  </si>
  <si>
    <t>v 4</t>
  </si>
  <si>
    <t>i 4</t>
  </si>
  <si>
    <t>Value 5</t>
  </si>
  <si>
    <t>Desc 5</t>
  </si>
  <si>
    <t>v 5</t>
  </si>
  <si>
    <t>i 5</t>
  </si>
  <si>
    <t>Value 6</t>
  </si>
  <si>
    <t>Desc 6</t>
  </si>
  <si>
    <t>v 6</t>
  </si>
  <si>
    <t>i 6</t>
  </si>
  <si>
    <t>Value 7</t>
  </si>
  <si>
    <t>Desc 7</t>
  </si>
  <si>
    <t>v 7</t>
  </si>
  <si>
    <t>i 7</t>
  </si>
  <si>
    <t>Value 8</t>
  </si>
  <si>
    <t>Desc 8</t>
  </si>
  <si>
    <t>v 8</t>
  </si>
  <si>
    <t>i 8</t>
  </si>
  <si>
    <t>Value 9</t>
  </si>
  <si>
    <t>Desc 9</t>
  </si>
  <si>
    <t>v 9</t>
  </si>
  <si>
    <t>i 9</t>
  </si>
  <si>
    <t>Value 10</t>
  </si>
  <si>
    <t>Desc 10</t>
  </si>
  <si>
    <t>v 10</t>
  </si>
  <si>
    <t>i 10</t>
  </si>
  <si>
    <t>Sales Funnel2 Chart Name:</t>
  </si>
  <si>
    <t>Colors</t>
  </si>
  <si>
    <t>DataText</t>
  </si>
  <si>
    <t>DataValue</t>
  </si>
  <si>
    <t>x</t>
  </si>
  <si>
    <t>Label</t>
  </si>
  <si>
    <t>Value</t>
  </si>
  <si>
    <t>Low</t>
  </si>
  <si>
    <t>High</t>
  </si>
  <si>
    <t>x2</t>
  </si>
  <si>
    <t>yLabel</t>
  </si>
  <si>
    <t>yPercent</t>
  </si>
  <si>
    <t>LabelPercent</t>
  </si>
  <si>
    <t>xxx</t>
  </si>
  <si>
    <t>G2_sample</t>
  </si>
  <si>
    <t>Net Profit Margin vs Target</t>
  </si>
  <si>
    <t>Skin 5</t>
  </si>
  <si>
    <t>Per</t>
  </si>
  <si>
    <t>RBC_1</t>
  </si>
  <si>
    <t>Data 3</t>
  </si>
  <si>
    <t>Data 4</t>
  </si>
  <si>
    <t>Data 5</t>
  </si>
  <si>
    <t>Data 6</t>
  </si>
  <si>
    <t>Data 7</t>
  </si>
  <si>
    <t>Data 8</t>
  </si>
  <si>
    <t>Data 9</t>
  </si>
  <si>
    <t>Data 10</t>
  </si>
  <si>
    <t>Data 11</t>
  </si>
  <si>
    <t>Data 12</t>
  </si>
  <si>
    <t>Data 13</t>
  </si>
  <si>
    <t>Data 14</t>
  </si>
  <si>
    <t>Data 15</t>
  </si>
  <si>
    <t>Data 16</t>
  </si>
  <si>
    <t>Data 17</t>
  </si>
  <si>
    <t>Data 18</t>
  </si>
  <si>
    <t>Data 19</t>
  </si>
  <si>
    <t>Data 20</t>
  </si>
  <si>
    <t>Data 21</t>
  </si>
  <si>
    <t>Data 22</t>
  </si>
  <si>
    <t>Data 23</t>
  </si>
  <si>
    <t>Data 24</t>
  </si>
  <si>
    <t>Data 25</t>
  </si>
  <si>
    <t>Data 26</t>
  </si>
  <si>
    <t>Data 27</t>
  </si>
  <si>
    <t>Data 28</t>
  </si>
  <si>
    <t>Data 29</t>
  </si>
  <si>
    <t>Data 30</t>
  </si>
  <si>
    <t>Data 31</t>
  </si>
  <si>
    <t>Data 32</t>
  </si>
  <si>
    <t>Data 33</t>
  </si>
  <si>
    <t>Data 34</t>
  </si>
  <si>
    <t>Data 35</t>
  </si>
  <si>
    <t>Data 36</t>
  </si>
  <si>
    <t>Data 37</t>
  </si>
  <si>
    <t>Data 38</t>
  </si>
  <si>
    <t>Data 39</t>
  </si>
  <si>
    <t>Data 40</t>
  </si>
  <si>
    <t>Data 41</t>
  </si>
  <si>
    <t>Data 42</t>
  </si>
  <si>
    <t>Data 43</t>
  </si>
  <si>
    <t>Data 44</t>
  </si>
  <si>
    <t>Data 45</t>
  </si>
  <si>
    <t>Data 46</t>
  </si>
  <si>
    <t>Data 47</t>
  </si>
  <si>
    <t>Data 48</t>
  </si>
  <si>
    <t>Data 49</t>
  </si>
  <si>
    <t>Data 50</t>
  </si>
  <si>
    <t>Data 51</t>
  </si>
  <si>
    <t>Data 52</t>
  </si>
  <si>
    <t>Data 53</t>
  </si>
  <si>
    <t>Data 54</t>
  </si>
  <si>
    <t>Data 55</t>
  </si>
  <si>
    <t>Data 56</t>
  </si>
  <si>
    <t>Data 57</t>
  </si>
  <si>
    <t>Data 58</t>
  </si>
  <si>
    <t>Data 59</t>
  </si>
  <si>
    <t>Data 60</t>
  </si>
  <si>
    <t>Data 61</t>
  </si>
  <si>
    <t>Data 62</t>
  </si>
  <si>
    <t>Data 63</t>
  </si>
  <si>
    <t>Data 64</t>
  </si>
  <si>
    <t>Data 65</t>
  </si>
  <si>
    <t>Data 66</t>
  </si>
  <si>
    <t>Data 67</t>
  </si>
  <si>
    <t>Data 68</t>
  </si>
  <si>
    <t>Data 69</t>
  </si>
  <si>
    <t>Data 70</t>
  </si>
  <si>
    <t>Data 71</t>
  </si>
  <si>
    <t>Data 72</t>
  </si>
  <si>
    <t>Data 73</t>
  </si>
  <si>
    <t>Data 74</t>
  </si>
  <si>
    <t>Data 75</t>
  </si>
  <si>
    <t>Data 76</t>
  </si>
  <si>
    <t>Data 77</t>
  </si>
  <si>
    <t>Data 78</t>
  </si>
  <si>
    <t>Data 79</t>
  </si>
  <si>
    <t>Data 80</t>
  </si>
  <si>
    <t>Data 81</t>
  </si>
  <si>
    <t>Data 82</t>
  </si>
  <si>
    <t>Data 83</t>
  </si>
  <si>
    <t>Data 84</t>
  </si>
  <si>
    <t>Data 85</t>
  </si>
  <si>
    <t>Data 86</t>
  </si>
  <si>
    <t>Data 87</t>
  </si>
  <si>
    <t>Data 88</t>
  </si>
  <si>
    <t>Data 89</t>
  </si>
  <si>
    <t>Data 90</t>
  </si>
  <si>
    <t>Data 91</t>
  </si>
  <si>
    <t>Data 92</t>
  </si>
  <si>
    <t>Data 93</t>
  </si>
  <si>
    <t>Data 94</t>
  </si>
  <si>
    <t>Data 95</t>
  </si>
  <si>
    <t>VAH_1</t>
  </si>
  <si>
    <t>Calculations:</t>
  </si>
  <si>
    <t>Red</t>
  </si>
  <si>
    <t>Actual</t>
  </si>
  <si>
    <t>Zero Line</t>
  </si>
  <si>
    <t>Var</t>
  </si>
  <si>
    <t>VAH_2</t>
  </si>
  <si>
    <t>WAT_1</t>
  </si>
  <si>
    <t>Income</t>
  </si>
  <si>
    <t>Expenses</t>
  </si>
  <si>
    <t>Net profit Margin %</t>
  </si>
  <si>
    <t>Statement</t>
  </si>
  <si>
    <t>VR_1</t>
  </si>
  <si>
    <t>G1_44</t>
  </si>
  <si>
    <t>Num</t>
  </si>
  <si>
    <t>Skin 1</t>
  </si>
  <si>
    <t>TL_484</t>
  </si>
  <si>
    <t>TL_V1</t>
  </si>
  <si>
    <t>Expense</t>
  </si>
  <si>
    <t>KPIs</t>
  </si>
  <si>
    <t>Net Profit Margin Actual</t>
  </si>
  <si>
    <t>Net Profit Margin Target</t>
  </si>
  <si>
    <t>Net Profit vs Target</t>
  </si>
  <si>
    <t>Selected month</t>
  </si>
  <si>
    <t>Var. between selected period and T-1 period</t>
  </si>
  <si>
    <t xml:space="preserve">Year 1 </t>
  </si>
  <si>
    <t>Year 2</t>
  </si>
  <si>
    <t xml:space="preserve">Year 3 </t>
  </si>
  <si>
    <t>Year 4</t>
  </si>
  <si>
    <t xml:space="preserve">Year 5 </t>
  </si>
  <si>
    <t>Year 1</t>
  </si>
  <si>
    <t>Year 3</t>
  </si>
  <si>
    <t>Year 5</t>
  </si>
  <si>
    <t xml:space="preserve">year 4 </t>
  </si>
  <si>
    <t xml:space="preserve">year 5 </t>
  </si>
  <si>
    <t>Yr 2 vs Yr 1</t>
  </si>
  <si>
    <t>Yr 3 vs Yr 2</t>
  </si>
  <si>
    <t>Total Units Sold</t>
  </si>
  <si>
    <t>% Change</t>
  </si>
  <si>
    <t xml:space="preserve">STOCKTIGO </t>
  </si>
  <si>
    <t>Avg Unit Price</t>
  </si>
  <si>
    <t>Difference</t>
  </si>
  <si>
    <t>Avg Sales Growth Rate</t>
  </si>
  <si>
    <t>Total Revenue</t>
  </si>
  <si>
    <t>Avg Unit COGS</t>
  </si>
  <si>
    <t xml:space="preserve">per unit </t>
  </si>
  <si>
    <t>Avg Margin Per Unit</t>
  </si>
  <si>
    <t>Total Gross Profit</t>
  </si>
  <si>
    <t>S.N</t>
  </si>
  <si>
    <t xml:space="preserve">Particulars </t>
  </si>
  <si>
    <t xml:space="preserve">Year 2 </t>
  </si>
  <si>
    <t>L.F</t>
  </si>
  <si>
    <t xml:space="preserve">Units </t>
  </si>
  <si>
    <t>₹</t>
  </si>
  <si>
    <t xml:space="preserve">Opening stock of raw materials </t>
  </si>
  <si>
    <t xml:space="preserve">Add : Material purchased </t>
  </si>
  <si>
    <t xml:space="preserve">Add : Carraige inward </t>
  </si>
  <si>
    <t>-</t>
  </si>
  <si>
    <t xml:space="preserve">Less : Closing stock of raw material </t>
  </si>
  <si>
    <t xml:space="preserve">Direct labour </t>
  </si>
  <si>
    <t xml:space="preserve">Direct expenses </t>
  </si>
  <si>
    <t xml:space="preserve">    -  Cost of assembling </t>
  </si>
  <si>
    <t xml:space="preserve">    -  Cost of Print &amp; Packaging </t>
  </si>
  <si>
    <t xml:space="preserve"> </t>
  </si>
  <si>
    <t xml:space="preserve">Works cost - </t>
  </si>
  <si>
    <t xml:space="preserve">    - Rent (Office + Warehouse)</t>
  </si>
  <si>
    <t xml:space="preserve">    - Salary (Coder) : one time </t>
  </si>
  <si>
    <t xml:space="preserve">    - Salary (Technician) </t>
  </si>
  <si>
    <t>Add : Opening stock of finish goods</t>
  </si>
  <si>
    <t xml:space="preserve">Less : Closing stock of finish goods </t>
  </si>
  <si>
    <t>Profit/(Loss)</t>
  </si>
  <si>
    <t xml:space="preserve">Sales </t>
  </si>
  <si>
    <t>SN</t>
  </si>
  <si>
    <t xml:space="preserve">Per unit </t>
  </si>
  <si>
    <t xml:space="preserve">units </t>
  </si>
  <si>
    <t xml:space="preserve">Total </t>
  </si>
  <si>
    <t xml:space="preserve">Material purchased - </t>
  </si>
  <si>
    <t xml:space="preserve">Total - </t>
  </si>
  <si>
    <t>Transport of raw material to assembling unit + finished good to warehouse (₹)</t>
  </si>
  <si>
    <t xml:space="preserve">Number of rounds </t>
  </si>
  <si>
    <t xml:space="preserve">Salary (Technician) - </t>
  </si>
  <si>
    <t xml:space="preserve">Salary of 1 technician </t>
  </si>
  <si>
    <t xml:space="preserve">Number of technician </t>
  </si>
  <si>
    <t xml:space="preserve">Selling &amp; distribution O/H - </t>
  </si>
  <si>
    <t>Via Amazon Ltd :</t>
  </si>
  <si>
    <t>(Cost of selling 1 unit of ₹4000)</t>
  </si>
  <si>
    <t>Via Brick &amp; mortar :</t>
  </si>
  <si>
    <t xml:space="preserve">Transportation Cost - </t>
  </si>
  <si>
    <t xml:space="preserve">    - No. of trips = 26, 
    - Cost of hiring a vehicle = 2000 per trip
</t>
  </si>
  <si>
    <t>Advertising :</t>
  </si>
  <si>
    <t>(xtreme ads - 21000 per month)</t>
  </si>
  <si>
    <t xml:space="preserve">       160 per day = 4800 per month</t>
  </si>
  <si>
    <t xml:space="preserve">-closing stock </t>
  </si>
  <si>
    <t xml:space="preserve">Date </t>
  </si>
  <si>
    <t xml:space="preserve">Inflow </t>
  </si>
  <si>
    <t xml:space="preserve">Outflow </t>
  </si>
  <si>
    <t xml:space="preserve">Opening Balance </t>
  </si>
  <si>
    <t xml:space="preserve">Capital </t>
  </si>
  <si>
    <t xml:space="preserve">Raw material </t>
  </si>
  <si>
    <t xml:space="preserve">Carriage inward </t>
  </si>
  <si>
    <t>Loan from ICICI Ltd</t>
  </si>
  <si>
    <t xml:space="preserve">Manufacturing </t>
  </si>
  <si>
    <t xml:space="preserve">Rent </t>
  </si>
  <si>
    <t xml:space="preserve">Salary </t>
  </si>
  <si>
    <t xml:space="preserve">Advertisment </t>
  </si>
  <si>
    <t xml:space="preserve">Selling cost </t>
  </si>
  <si>
    <t xml:space="preserve">Interest on loan </t>
  </si>
  <si>
    <t xml:space="preserve">Tax paid </t>
  </si>
  <si>
    <t xml:space="preserve">Trademark </t>
  </si>
  <si>
    <t xml:space="preserve">Copyright </t>
  </si>
  <si>
    <t>Repayment of Loan</t>
  </si>
  <si>
    <t xml:space="preserve">Misc. </t>
  </si>
  <si>
    <t xml:space="preserve">Closing Balance </t>
  </si>
  <si>
    <t xml:space="preserve">1) Shareholder's fund - </t>
  </si>
  <si>
    <t xml:space="preserve">          Loan from ICICI Ltd </t>
  </si>
  <si>
    <t xml:space="preserve">TOTAL </t>
  </si>
  <si>
    <t>Revenue from operations</t>
  </si>
  <si>
    <t xml:space="preserve">Change In Inventory </t>
  </si>
  <si>
    <t>Other Income</t>
  </si>
  <si>
    <t xml:space="preserve">Total Expenses </t>
  </si>
  <si>
    <t xml:space="preserve">Profit Before Interest &amp; Tax </t>
  </si>
  <si>
    <t xml:space="preserve">Profit before tax </t>
  </si>
  <si>
    <t xml:space="preserve">Provision for tax </t>
  </si>
  <si>
    <t>Cess@4%</t>
  </si>
  <si>
    <t xml:space="preserve">Profit After Tax </t>
  </si>
  <si>
    <t xml:space="preserve">Current ratio </t>
  </si>
  <si>
    <t>Debt to equity ratio</t>
  </si>
  <si>
    <t xml:space="preserve">Debt to Total Assets </t>
  </si>
  <si>
    <t xml:space="preserve">Return on Equity </t>
  </si>
  <si>
    <t xml:space="preserve">ROCE </t>
  </si>
  <si>
    <t xml:space="preserve">Interest Coverage Ratio </t>
  </si>
  <si>
    <t xml:space="preserve">Financial Leverage index </t>
  </si>
  <si>
    <t>Absolute Liquid Ratio</t>
  </si>
  <si>
    <t xml:space="preserve">Inventory to Working capital </t>
  </si>
  <si>
    <t>Break-Even Analysis</t>
  </si>
  <si>
    <t>Selling Price (per unit)</t>
  </si>
  <si>
    <t>Total Fixed Costs</t>
  </si>
  <si>
    <t>Contribution Margin per Unit</t>
  </si>
  <si>
    <t>Contribution Margin Ratio</t>
  </si>
  <si>
    <t>Break-Even Units</t>
  </si>
  <si>
    <t>Cash Flow Projection</t>
  </si>
  <si>
    <t>Cash from Operations</t>
  </si>
  <si>
    <t>Receipts from Customers</t>
  </si>
  <si>
    <t xml:space="preserve">Other operations </t>
  </si>
  <si>
    <t>Total Cash from Operations</t>
  </si>
  <si>
    <t>Cash from Financing</t>
  </si>
  <si>
    <t>Issuance of Stock</t>
  </si>
  <si>
    <t>Borrowing</t>
  </si>
  <si>
    <t>Total Cash from Financing</t>
  </si>
  <si>
    <t>Cash from Investing</t>
  </si>
  <si>
    <t>Sale of Property and Equipment</t>
  </si>
  <si>
    <t>Collection of Principal on Loans</t>
  </si>
  <si>
    <t>Sale of Investment Securities</t>
  </si>
  <si>
    <t>Total Cash from Investing</t>
  </si>
  <si>
    <t>Total Cash Inflows</t>
  </si>
  <si>
    <t xml:space="preserve">Tax </t>
  </si>
  <si>
    <t>Total Outflows from Operations</t>
  </si>
  <si>
    <t>Repayment of Loans</t>
  </si>
  <si>
    <t>Repurchase of Stocks</t>
  </si>
  <si>
    <t>Interest Paid</t>
  </si>
  <si>
    <t>Total Outflows from Financing</t>
  </si>
  <si>
    <t>Total Outflows from Investing</t>
  </si>
  <si>
    <t>Total Cash Outflows</t>
  </si>
  <si>
    <t>NET CASH FLOW</t>
  </si>
  <si>
    <t>Add:</t>
  </si>
  <si>
    <t>Cash at Beginning of Period</t>
  </si>
  <si>
    <t>=</t>
  </si>
  <si>
    <t>Cash at End of Period</t>
  </si>
  <si>
    <t xml:space="preserve">Difference </t>
  </si>
  <si>
    <t xml:space="preserve">Income statement </t>
  </si>
  <si>
    <t xml:space="preserve">Balance sheet </t>
  </si>
  <si>
    <t xml:space="preserve">Liability </t>
  </si>
  <si>
    <t xml:space="preserve">Assets </t>
  </si>
  <si>
    <t xml:space="preserve">Cash </t>
  </si>
  <si>
    <t xml:space="preserve">Closing stock </t>
  </si>
  <si>
    <t xml:space="preserve">Reserves </t>
  </si>
  <si>
    <t xml:space="preserve">Advance tax </t>
  </si>
  <si>
    <t>Cess</t>
  </si>
  <si>
    <t xml:space="preserve">Profit after tax </t>
  </si>
  <si>
    <t>EBIT and Expenses</t>
  </si>
  <si>
    <t>Cost of Production :</t>
  </si>
  <si>
    <t xml:space="preserve">Year 4 </t>
  </si>
  <si>
    <t xml:space="preserve">Notes to Account </t>
  </si>
  <si>
    <t>Circuit board - cost</t>
  </si>
  <si>
    <t>Screen - (7 inch)</t>
  </si>
  <si>
    <t>Scanner (3*3.5 inch)</t>
  </si>
  <si>
    <t>Marker Pen</t>
  </si>
  <si>
    <t xml:space="preserve">Printing Expenses </t>
  </si>
  <si>
    <t xml:space="preserve">Units sold </t>
  </si>
  <si>
    <t xml:space="preserve">Purchases </t>
  </si>
  <si>
    <t xml:space="preserve">Opening Stock </t>
  </si>
  <si>
    <t>Cost of production (In units)</t>
  </si>
  <si>
    <t xml:space="preserve">COST SHEET </t>
  </si>
  <si>
    <t xml:space="preserve">CASH BOOK </t>
  </si>
  <si>
    <t xml:space="preserve">5 YEARS SALES FORECAST </t>
  </si>
  <si>
    <t>Total (₹)</t>
  </si>
  <si>
    <t>Year 1 (₹)</t>
  </si>
  <si>
    <t>Year 2 (₹)</t>
  </si>
  <si>
    <t>Year 3 (₹)</t>
  </si>
  <si>
    <t>Year 4 (₹)</t>
  </si>
  <si>
    <t>Year 5 (₹)</t>
  </si>
  <si>
    <t xml:space="preserve">BALANCE SHEET </t>
  </si>
  <si>
    <t xml:space="preserve">Factory O/H - </t>
  </si>
  <si>
    <t>Prime cost :</t>
  </si>
  <si>
    <t>Direct materials :</t>
  </si>
  <si>
    <t>Cost of Goods Sold :</t>
  </si>
  <si>
    <t>Cost of sales :</t>
  </si>
  <si>
    <t>EQUITY &amp; LIABILITIES :</t>
  </si>
  <si>
    <t xml:space="preserve">        A) Share capital </t>
  </si>
  <si>
    <t xml:space="preserve">                  Partners' capital </t>
  </si>
  <si>
    <t xml:space="preserve">                   Profit &amp; loss</t>
  </si>
  <si>
    <t xml:space="preserve">                   Capital Reserve </t>
  </si>
  <si>
    <t xml:space="preserve">       B) Intangible assets - </t>
  </si>
  <si>
    <t xml:space="preserve">                Patents &amp; Copyrights </t>
  </si>
  <si>
    <t xml:space="preserve">        B) Reserves &amp; surplus </t>
  </si>
  <si>
    <t xml:space="preserve">       A) Tangible assets - </t>
  </si>
  <si>
    <t xml:space="preserve">          Provision for tax </t>
  </si>
  <si>
    <t>ASSETS :</t>
  </si>
  <si>
    <t>2) Non-Current Liablities -</t>
  </si>
  <si>
    <t>3) Current Liablities -</t>
  </si>
  <si>
    <t>1) Non-current Assets -</t>
  </si>
  <si>
    <t>2) Current Assets, Loan &amp; Advances -</t>
  </si>
  <si>
    <t xml:space="preserve">            Cash &amp; cash Equivalents </t>
  </si>
  <si>
    <t xml:space="preserve">            Inventory </t>
  </si>
  <si>
    <t xml:space="preserve">            Loan &amp; Advances </t>
  </si>
  <si>
    <t xml:space="preserve">Profit And Loss Account </t>
  </si>
  <si>
    <t>Income -</t>
  </si>
  <si>
    <t>Expenses -</t>
  </si>
  <si>
    <t xml:space="preserve">FINANCIAL RATIOS </t>
  </si>
  <si>
    <r>
      <t>Selling &amp; distribution O/H</t>
    </r>
    <r>
      <rPr>
        <sz val="13"/>
        <color theme="1"/>
        <rFont val="Times New Roman"/>
        <family val="1"/>
      </rPr>
      <t xml:space="preserve"> </t>
    </r>
    <r>
      <rPr>
        <sz val="13"/>
        <color theme="0"/>
        <rFont val="Times New Roman"/>
        <family val="1"/>
      </rPr>
      <t>:</t>
    </r>
  </si>
  <si>
    <r>
      <t>Freight</t>
    </r>
    <r>
      <rPr>
        <sz val="13"/>
        <color theme="0"/>
        <rFont val="Times New Roman"/>
        <family val="1"/>
      </rPr>
      <t xml:space="preserve"> - </t>
    </r>
  </si>
  <si>
    <r>
      <t xml:space="preserve">Discount on sales </t>
    </r>
    <r>
      <rPr>
        <sz val="13"/>
        <color theme="1"/>
        <rFont val="Times New Roman"/>
        <family val="1"/>
      </rPr>
      <t xml:space="preserve"> - </t>
    </r>
  </si>
  <si>
    <r>
      <rPr>
        <sz val="13"/>
        <color theme="1"/>
        <rFont val="Times New Roman"/>
        <family val="1"/>
      </rPr>
      <t xml:space="preserve">     -</t>
    </r>
    <r>
      <rPr>
        <u/>
        <sz val="13"/>
        <color theme="1"/>
        <rFont val="Times New Roman"/>
        <family val="1"/>
      </rPr>
      <t xml:space="preserve"> Social media partners </t>
    </r>
  </si>
  <si>
    <r>
      <t xml:space="preserve">     - </t>
    </r>
    <r>
      <rPr>
        <u/>
        <sz val="13"/>
        <color theme="1"/>
        <rFont val="Times New Roman"/>
        <family val="1"/>
      </rPr>
      <t>E-learn + Youtube</t>
    </r>
  </si>
  <si>
    <r>
      <rPr>
        <sz val="13"/>
        <color theme="1"/>
        <rFont val="Times New Roman"/>
        <family val="1"/>
      </rPr>
      <t xml:space="preserve">     - </t>
    </r>
    <r>
      <rPr>
        <u/>
        <sz val="13"/>
        <color theme="1"/>
        <rFont val="Times New Roman"/>
        <family val="1"/>
      </rPr>
      <t xml:space="preserve">Amazon first lisiting product </t>
    </r>
  </si>
  <si>
    <t xml:space="preserve">Return on Assets </t>
  </si>
  <si>
    <t xml:space="preserve">Return on Proprietary fund </t>
  </si>
  <si>
    <t xml:space="preserve">Net Profit Margin  </t>
  </si>
  <si>
    <t xml:space="preserve">Gross Profit Margin </t>
  </si>
  <si>
    <t xml:space="preserve">Fixed Cost - </t>
  </si>
  <si>
    <t>Variable Cost -</t>
  </si>
  <si>
    <t>Total Variable Costs</t>
  </si>
  <si>
    <t xml:space="preserve">Variable Costs based on rupees amount per unit - </t>
  </si>
  <si>
    <t xml:space="preserve">Break-Even Point - </t>
  </si>
  <si>
    <t xml:space="preserve">Break-Even Sales </t>
  </si>
  <si>
    <t xml:space="preserve">Total Variable Cost per Unit - </t>
  </si>
  <si>
    <t>CASH INFLOWS -</t>
  </si>
  <si>
    <t xml:space="preserve">CASH OUTFLOWS - </t>
  </si>
  <si>
    <t>Operations -</t>
  </si>
  <si>
    <t xml:space="preserve">Financing - </t>
  </si>
  <si>
    <t xml:space="preserve">Investing - </t>
  </si>
  <si>
    <t xml:space="preserve">earning before intr tax dep and amort </t>
  </si>
  <si>
    <t xml:space="preserve">EBIDA </t>
  </si>
  <si>
    <t xml:space="preserve">DASHBOARD </t>
  </si>
  <si>
    <t>SALES FORECAST</t>
  </si>
  <si>
    <t xml:space="preserve">INCOME STATEMENT </t>
  </si>
  <si>
    <t>CASH BOOK</t>
  </si>
  <si>
    <t xml:space="preserve">CASH FLOW STATEMENT </t>
  </si>
  <si>
    <t xml:space="preserve">BREAK EVEN POINT </t>
  </si>
  <si>
    <t xml:space="preserve">RATIOS </t>
  </si>
  <si>
    <t xml:space="preserve">COP (IN UNITS) </t>
  </si>
  <si>
    <t>Sr No.</t>
  </si>
  <si>
    <t>Particulars</t>
  </si>
  <si>
    <t>Table of Contents</t>
  </si>
  <si>
    <t xml:space="preserve">Profit Before Tax </t>
  </si>
  <si>
    <t>Profit Before Tax (PBT)</t>
  </si>
  <si>
    <t>EBIT Margin</t>
  </si>
  <si>
    <t>PAT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</si>
</sst>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0.0%"/>
    <numFmt numFmtId="165" formatCode="0.0"/>
    <numFmt numFmtId="166" formatCode="&quot;+&quot;#,##0;&quot;-&quot;#,##0"/>
    <numFmt numFmtId="167" formatCode="\+#,##0_ ;[Red]\-#,##0\ "/>
    <numFmt numFmtId="168" formatCode="_ * #,##0_)\ _$_ ;_ * \(#,##0\)\ _$_ ;_ * &quot;-&quot;??_)\ _$_ ;_ @_ "/>
    <numFmt numFmtId="169" formatCode="_ [$₹-4009]\ * #,##0.00_ ;_ [$₹-4009]\ * \-#,##0.00_ ;_ [$₹-4009]\ * &quot;-&quot;??_ ;_ @_ "/>
    <numFmt numFmtId="170" formatCode="_ * #,##0_ ;_ * \-#,##0_ ;_ * &quot;-&quot;??_ ;_ @_ "/>
    <numFmt numFmtId="171" formatCode="_ * #,##0.0_ ;_ * \-#,##0.0_ ;_ * &quot;-&quot;??_ ;_ @_ "/>
    <numFmt numFmtId="172" formatCode="_ [$₹-4009]\ * #,##0_ ;_ [$₹-4009]\ * \-#,##0_ ;_ [$₹-4009]\ * &quot;-&quot;??_ ;_ @_ "/>
    <numFmt numFmtId="173" formatCode="&quot;+&quot;#,##0.0;&quot;-&quot;#,##0.0"/>
    <numFmt numFmtId="174" formatCode="0.00000000000000%"/>
  </numFmts>
  <fonts count="1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entury Gothic"/>
      <family val="2"/>
    </font>
    <font>
      <b/>
      <sz val="11"/>
      <color theme="1"/>
      <name val="Segoe UI"/>
      <family val="2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sz val="16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i/>
      <sz val="11"/>
      <color theme="1" tint="0.249977111117893"/>
      <name val="Segoe UI"/>
      <family val="2"/>
    </font>
    <font>
      <i/>
      <sz val="11"/>
      <color theme="1" tint="0.34998626667073579"/>
      <name val="Segoe UI"/>
      <family val="2"/>
    </font>
    <font>
      <b/>
      <i/>
      <sz val="11"/>
      <color theme="1" tint="0.34998626667073579"/>
      <name val="Segoe UI"/>
      <family val="2"/>
    </font>
    <font>
      <b/>
      <i/>
      <sz val="12"/>
      <color theme="1" tint="0.249977111117893"/>
      <name val="Segoe UI"/>
      <family val="2"/>
    </font>
    <font>
      <b/>
      <i/>
      <sz val="11"/>
      <color theme="1" tint="0.249977111117893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b/>
      <sz val="10"/>
      <color rgb="FF7F7F7F"/>
      <name val="Arial"/>
      <family val="2"/>
    </font>
    <font>
      <sz val="11"/>
      <color rgb="FF7F7F7F"/>
      <name val="Calibri"/>
      <family val="2"/>
      <scheme val="minor"/>
    </font>
    <font>
      <b/>
      <sz val="10"/>
      <color theme="1"/>
      <name val="Segoe UI"/>
      <family val="2"/>
    </font>
    <font>
      <b/>
      <sz val="24"/>
      <color theme="1"/>
      <name val="Segoe UI"/>
      <family val="2"/>
    </font>
    <font>
      <sz val="8"/>
      <name val="Calibri"/>
      <family val="2"/>
      <scheme val="minor"/>
    </font>
    <font>
      <i/>
      <sz val="11"/>
      <color rgb="FF435361"/>
      <name val="Segoe UI"/>
      <family val="2"/>
    </font>
    <font>
      <b/>
      <i/>
      <sz val="11"/>
      <color rgb="FF435361"/>
      <name val="Calibri"/>
      <family val="2"/>
      <scheme val="minor"/>
    </font>
    <font>
      <i/>
      <sz val="11"/>
      <color rgb="FF435361"/>
      <name val="Calibri"/>
      <family val="2"/>
      <scheme val="minor"/>
    </font>
    <font>
      <sz val="11"/>
      <color rgb="FF43536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i/>
      <sz val="11"/>
      <color theme="1"/>
      <name val="Segoe UI"/>
      <family val="2"/>
    </font>
    <font>
      <b/>
      <sz val="10"/>
      <color theme="4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u/>
      <sz val="10"/>
      <color indexed="1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8"/>
      <color rgb="FF000000"/>
      <name val="Times New Roman"/>
      <family val="1"/>
    </font>
    <font>
      <b/>
      <sz val="28"/>
      <color theme="4" tint="-0.499984740745262"/>
      <name val="Times New Roman"/>
      <family val="1"/>
    </font>
    <font>
      <sz val="28"/>
      <color theme="1"/>
      <name val="Times New Roman"/>
      <family val="1"/>
    </font>
    <font>
      <b/>
      <sz val="28"/>
      <color theme="1"/>
      <name val="Times New Roman"/>
      <family val="1"/>
    </font>
    <font>
      <b/>
      <u/>
      <sz val="28"/>
      <color theme="1"/>
      <name val="Times New Roman"/>
      <family val="1"/>
    </font>
    <font>
      <b/>
      <sz val="28"/>
      <color rgb="FF006100"/>
      <name val="Times New Roman"/>
      <family val="1"/>
    </font>
    <font>
      <sz val="28"/>
      <color theme="1"/>
      <name val="Calibri"/>
      <family val="2"/>
      <scheme val="minor"/>
    </font>
    <font>
      <b/>
      <i/>
      <u/>
      <sz val="28"/>
      <color rgb="FF000000"/>
      <name val="Times New Roman"/>
      <family val="1"/>
    </font>
    <font>
      <b/>
      <i/>
      <sz val="28"/>
      <color rgb="FF000000"/>
      <name val="Times New Roman"/>
      <family val="1"/>
    </font>
    <font>
      <b/>
      <sz val="28"/>
      <color rgb="FF9C0006"/>
      <name val="Times New Roman"/>
      <family val="1"/>
    </font>
    <font>
      <b/>
      <sz val="12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8"/>
      <color theme="1"/>
      <name val="Times New Roman"/>
      <family val="1"/>
    </font>
    <font>
      <sz val="8"/>
      <color theme="1"/>
      <name val="Times New Roman"/>
      <family val="1"/>
    </font>
    <font>
      <b/>
      <sz val="8"/>
      <color theme="3"/>
      <name val="Times New Roman"/>
      <family val="1"/>
    </font>
    <font>
      <sz val="8"/>
      <color theme="4" tint="-0.499984740745262"/>
      <name val="Times New Roman"/>
      <family val="1"/>
    </font>
    <font>
      <b/>
      <sz val="8"/>
      <color theme="0"/>
      <name val="Times New Roman"/>
      <family val="1"/>
    </font>
    <font>
      <sz val="8"/>
      <color theme="0"/>
      <name val="Times New Roman"/>
      <family val="1"/>
    </font>
    <font>
      <sz val="8"/>
      <name val="Times New Roman"/>
      <family val="1"/>
    </font>
    <font>
      <u/>
      <sz val="8"/>
      <color indexed="12"/>
      <name val="Times New Roman"/>
      <family val="1"/>
    </font>
    <font>
      <b/>
      <sz val="9"/>
      <color theme="0"/>
      <name val="Times New Roman"/>
      <family val="1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sz val="9"/>
      <color theme="4" tint="-0.499984740745262"/>
      <name val="Times New Roman"/>
      <family val="1"/>
    </font>
    <font>
      <b/>
      <sz val="9"/>
      <color theme="4" tint="0.79998168889431442"/>
      <name val="Times New Roman"/>
      <family val="1"/>
    </font>
    <font>
      <b/>
      <sz val="15"/>
      <color theme="3"/>
      <name val="Times New Roman"/>
      <family val="1"/>
    </font>
    <font>
      <b/>
      <sz val="14"/>
      <color theme="4" tint="-0.499984740745262"/>
      <name val="Times New Roman"/>
      <family val="1"/>
    </font>
    <font>
      <b/>
      <sz val="14"/>
      <color theme="0"/>
      <name val="Times New Roman"/>
      <family val="1"/>
    </font>
    <font>
      <sz val="14"/>
      <color theme="1"/>
      <name val="Times New Roman"/>
      <family val="1"/>
    </font>
    <font>
      <b/>
      <sz val="13"/>
      <color theme="4" tint="-0.499984740745262"/>
      <name val="Times New Roman"/>
      <family val="1"/>
    </font>
    <font>
      <b/>
      <sz val="13"/>
      <color theme="0"/>
      <name val="Times New Roman"/>
      <family val="1"/>
    </font>
    <font>
      <sz val="13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0"/>
      <name val="Times New Roman"/>
      <family val="1"/>
    </font>
    <font>
      <b/>
      <sz val="16"/>
      <color theme="7" tint="-0.499984740745262"/>
      <name val="Times New Roman"/>
      <family val="1"/>
    </font>
    <font>
      <u/>
      <sz val="11"/>
      <color theme="1"/>
      <name val="Times New Roman"/>
      <family val="1"/>
    </font>
    <font>
      <b/>
      <sz val="10"/>
      <color theme="0"/>
      <name val="Times New Roman"/>
      <family val="1"/>
    </font>
    <font>
      <b/>
      <sz val="12"/>
      <color theme="7" tint="-0.499984740745262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5"/>
      <color theme="4" tint="-0.499984740745262"/>
      <name val="Times New Roman"/>
      <family val="1"/>
    </font>
    <font>
      <sz val="15"/>
      <color theme="1"/>
      <name val="Times New Roman"/>
      <family val="1"/>
    </font>
    <font>
      <b/>
      <sz val="15"/>
      <color theme="0"/>
      <name val="Times New Roman"/>
      <family val="1"/>
    </font>
    <font>
      <b/>
      <sz val="18"/>
      <color theme="7" tint="-0.499984740745262"/>
      <name val="Times New Roman"/>
      <family val="1"/>
    </font>
    <font>
      <b/>
      <sz val="20"/>
      <color theme="7" tint="-0.499984740745262"/>
      <name val="Times New Roman"/>
      <family val="1"/>
    </font>
    <font>
      <b/>
      <sz val="22"/>
      <color theme="7" tint="-0.499984740745262"/>
      <name val="Times New Roman"/>
      <family val="1"/>
    </font>
    <font>
      <b/>
      <sz val="35"/>
      <color theme="7" tint="-0.499984740745262"/>
      <name val="Times New Roman"/>
      <family val="1"/>
    </font>
    <font>
      <b/>
      <sz val="28"/>
      <color theme="1"/>
      <name val="Calibri"/>
      <family val="2"/>
      <scheme val="minor"/>
    </font>
    <font>
      <b/>
      <sz val="30"/>
      <color theme="4" tint="-0.499984740745262"/>
      <name val="Times New Roman"/>
      <family val="1"/>
    </font>
    <font>
      <b/>
      <sz val="28"/>
      <color theme="0"/>
      <name val="Times New Roman"/>
      <family val="1"/>
    </font>
    <font>
      <b/>
      <sz val="13"/>
      <color theme="1"/>
      <name val="Times New Roman"/>
      <family val="1"/>
    </font>
    <font>
      <sz val="13"/>
      <color theme="0"/>
      <name val="Times New Roman"/>
      <family val="1"/>
    </font>
    <font>
      <sz val="13"/>
      <color rgb="FF000000"/>
      <name val="Times New Roman"/>
      <family val="1"/>
    </font>
    <font>
      <u/>
      <sz val="13"/>
      <color theme="1"/>
      <name val="Times New Roman"/>
      <family val="1"/>
    </font>
    <font>
      <b/>
      <sz val="10"/>
      <color theme="4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theme="0" tint="-4.9989318521683403E-2"/>
      <name val="Times New Roman"/>
      <family val="1"/>
    </font>
    <font>
      <b/>
      <sz val="16"/>
      <color theme="1"/>
      <name val="Times New Roman"/>
      <family val="1"/>
    </font>
    <font>
      <sz val="11"/>
      <color theme="1" tint="0.249977111117893"/>
      <name val="Times New Roman"/>
      <family val="1"/>
    </font>
    <font>
      <sz val="12"/>
      <color theme="1" tint="0.249977111117893"/>
      <name val="Times New Roman"/>
      <family val="1"/>
    </font>
    <font>
      <b/>
      <sz val="12"/>
      <color theme="1" tint="0.249977111117893"/>
      <name val="Times New Roman"/>
      <family val="1"/>
    </font>
    <font>
      <b/>
      <sz val="12"/>
      <color theme="0"/>
      <name val="Times New Roman"/>
      <family val="1"/>
    </font>
    <font>
      <b/>
      <sz val="26"/>
      <color theme="1" tint="0.249977111117893"/>
      <name val="Times New Roman"/>
      <family val="1"/>
    </font>
    <font>
      <b/>
      <sz val="24"/>
      <color theme="1" tint="0.249977111117893"/>
      <name val="Times New Roman"/>
      <family val="1"/>
    </font>
    <font>
      <sz val="11"/>
      <color rgb="FFFF0000"/>
      <name val="Times New Roman"/>
      <family val="1"/>
    </font>
    <font>
      <sz val="10"/>
      <color theme="1"/>
      <name val="Times New Roman"/>
      <family val="1"/>
    </font>
    <font>
      <b/>
      <sz val="17"/>
      <name val="Times New Roman"/>
      <family val="1"/>
    </font>
  </fonts>
  <fills count="3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C80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4E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1B1A3"/>
        <bgColor indexed="64"/>
      </patternFill>
    </fill>
    <fill>
      <patternFill patternType="solid">
        <fgColor rgb="FFFB5A5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1EFF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5E0E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</fills>
  <borders count="84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medium">
        <color theme="0" tint="-4.9989318521683403E-2"/>
      </top>
      <bottom/>
      <diagonal/>
    </border>
    <border>
      <left/>
      <right/>
      <top style="double">
        <color theme="0" tint="-4.9989318521683403E-2"/>
      </top>
      <bottom/>
      <diagonal/>
    </border>
    <border>
      <left/>
      <right/>
      <top style="double">
        <color theme="0" tint="-4.9989318521683403E-2"/>
      </top>
      <bottom style="medium">
        <color theme="0" tint="-4.9989318521683403E-2"/>
      </bottom>
      <diagonal/>
    </border>
    <border>
      <left style="thin">
        <color theme="0" tint="-0.14996795556505021"/>
      </left>
      <right/>
      <top/>
      <bottom/>
      <diagonal/>
    </border>
    <border>
      <left/>
      <right/>
      <top style="thin">
        <color theme="0" tint="-4.9989318521683403E-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theme="1" tint="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/>
      <top/>
      <bottom style="medium">
        <color theme="1" tint="0.24994659260841701"/>
      </bottom>
      <diagonal/>
    </border>
    <border>
      <left/>
      <right style="thin">
        <color theme="0" tint="-0.24994659260841701"/>
      </right>
      <top/>
      <bottom style="medium">
        <color theme="1" tint="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theme="0" tint="-4.9989318521683403E-2"/>
      </top>
      <bottom/>
      <diagonal/>
    </border>
    <border>
      <left/>
      <right style="medium">
        <color indexed="64"/>
      </right>
      <top style="thin">
        <color theme="0" tint="-4.9989318521683403E-2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9" fontId="1" fillId="0" borderId="0" applyFont="0" applyFill="0" applyBorder="0" applyAlignment="0" applyProtection="0"/>
    <xf numFmtId="0" fontId="4" fillId="14" borderId="0" applyNumberFormat="0" applyBorder="0" applyAlignment="0" applyProtection="0"/>
    <xf numFmtId="0" fontId="16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3" fillId="0" borderId="21" applyNumberFormat="0" applyFill="0" applyAlignment="0" applyProtection="0"/>
    <xf numFmtId="0" fontId="34" fillId="22" borderId="0" applyNumberFormat="0" applyBorder="0" applyAlignment="0" applyProtection="0"/>
    <xf numFmtId="0" fontId="35" fillId="23" borderId="0" applyNumberFormat="0" applyBorder="0" applyAlignment="0" applyProtection="0"/>
    <xf numFmtId="0" fontId="39" fillId="0" borderId="0" applyNumberFormat="0" applyFill="0" applyBorder="0" applyAlignment="0" applyProtection="0">
      <alignment vertical="top"/>
      <protection locked="0"/>
    </xf>
    <xf numFmtId="0" fontId="98" fillId="0" borderId="0" applyNumberFormat="0" applyFill="0" applyBorder="0" applyAlignment="0" applyProtection="0"/>
  </cellStyleXfs>
  <cellXfs count="66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4" fontId="4" fillId="0" borderId="0" xfId="0" applyNumberFormat="1" applyFont="1" applyAlignment="1">
      <alignment vertical="center"/>
    </xf>
    <xf numFmtId="0" fontId="0" fillId="0" borderId="0" xfId="0" applyAlignment="1" applyProtection="1">
      <alignment vertical="center"/>
      <protection hidden="1"/>
    </xf>
    <xf numFmtId="0" fontId="2" fillId="9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0" borderId="0" xfId="0" applyFont="1"/>
    <xf numFmtId="0" fontId="7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2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2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2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2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166" fontId="0" fillId="13" borderId="0" xfId="0" applyNumberFormat="1" applyFill="1" applyAlignment="1">
      <alignment horizontal="center" vertical="center"/>
    </xf>
    <xf numFmtId="167" fontId="2" fillId="13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center"/>
    </xf>
    <xf numFmtId="0" fontId="9" fillId="0" borderId="0" xfId="0" applyFont="1" applyAlignment="1">
      <alignment vertical="center"/>
    </xf>
    <xf numFmtId="0" fontId="3" fillId="3" borderId="4" xfId="0" applyFont="1" applyFill="1" applyBorder="1" applyAlignment="1" applyProtection="1">
      <alignment vertical="center"/>
      <protection hidden="1"/>
    </xf>
    <xf numFmtId="0" fontId="3" fillId="3" borderId="0" xfId="0" applyFont="1" applyFill="1" applyAlignment="1" applyProtection="1">
      <alignment vertical="top"/>
      <protection hidden="1"/>
    </xf>
    <xf numFmtId="0" fontId="5" fillId="3" borderId="0" xfId="0" applyFont="1" applyFill="1" applyAlignment="1" applyProtection="1">
      <alignment vertical="center"/>
      <protection hidden="1"/>
    </xf>
    <xf numFmtId="0" fontId="3" fillId="3" borderId="0" xfId="0" applyFont="1" applyFill="1" applyAlignment="1" applyProtection="1">
      <alignment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3" fillId="0" borderId="0" xfId="0" applyFont="1" applyAlignment="1" applyProtection="1">
      <alignment vertical="center"/>
      <protection hidden="1"/>
    </xf>
    <xf numFmtId="0" fontId="4" fillId="0" borderId="0" xfId="2" applyFill="1" applyBorder="1" applyAlignment="1" applyProtection="1">
      <alignment vertical="center"/>
      <protection hidden="1"/>
    </xf>
    <xf numFmtId="166" fontId="0" fillId="0" borderId="0" xfId="0" applyNumberFormat="1" applyAlignment="1">
      <alignment horizontal="center"/>
    </xf>
    <xf numFmtId="0" fontId="4" fillId="15" borderId="5" xfId="2" applyFill="1" applyBorder="1" applyAlignment="1" applyProtection="1">
      <alignment vertical="center"/>
      <protection hidden="1"/>
    </xf>
    <xf numFmtId="168" fontId="3" fillId="3" borderId="4" xfId="0" applyNumberFormat="1" applyFont="1" applyFill="1" applyBorder="1" applyAlignment="1" applyProtection="1">
      <alignment vertical="center"/>
      <protection hidden="1"/>
    </xf>
    <xf numFmtId="168" fontId="3" fillId="3" borderId="0" xfId="0" applyNumberFormat="1" applyFont="1" applyFill="1" applyAlignment="1" applyProtection="1">
      <alignment vertical="center"/>
      <protection hidden="1"/>
    </xf>
    <xf numFmtId="168" fontId="5" fillId="3" borderId="0" xfId="0" applyNumberFormat="1" applyFont="1" applyFill="1" applyAlignment="1" applyProtection="1">
      <alignment horizontal="center" vertical="center"/>
      <protection hidden="1"/>
    </xf>
    <xf numFmtId="168" fontId="5" fillId="0" borderId="0" xfId="0" applyNumberFormat="1" applyFont="1" applyAlignment="1" applyProtection="1">
      <alignment horizontal="center" vertical="center"/>
      <protection hidden="1"/>
    </xf>
    <xf numFmtId="168" fontId="4" fillId="15" borderId="5" xfId="2" applyNumberForma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vertical="center"/>
      <protection hidden="1"/>
    </xf>
    <xf numFmtId="0" fontId="0" fillId="3" borderId="0" xfId="0" applyFill="1" applyAlignment="1">
      <alignment vertical="center"/>
    </xf>
    <xf numFmtId="0" fontId="13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164" fontId="11" fillId="10" borderId="2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hidden="1"/>
    </xf>
    <xf numFmtId="0" fontId="12" fillId="0" borderId="0" xfId="0" applyFont="1" applyProtection="1">
      <protection hidden="1"/>
    </xf>
    <xf numFmtId="9" fontId="12" fillId="0" borderId="0" xfId="1" applyFont="1" applyBorder="1" applyAlignment="1" applyProtection="1">
      <alignment vertical="center"/>
      <protection hidden="1"/>
    </xf>
    <xf numFmtId="164" fontId="12" fillId="0" borderId="0" xfId="0" applyNumberFormat="1" applyFont="1" applyAlignment="1" applyProtection="1">
      <alignment vertical="center"/>
      <protection hidden="1"/>
    </xf>
    <xf numFmtId="9" fontId="0" fillId="0" borderId="0" xfId="0" applyNumberFormat="1"/>
    <xf numFmtId="164" fontId="23" fillId="3" borderId="0" xfId="3" applyNumberFormat="1" applyFont="1" applyFill="1" applyAlignment="1">
      <alignment horizontal="center" vertical="center"/>
    </xf>
    <xf numFmtId="164" fontId="25" fillId="0" borderId="0" xfId="1" applyNumberFormat="1" applyFont="1" applyBorder="1" applyAlignment="1" applyProtection="1">
      <alignment horizontal="center" vertical="center"/>
      <protection hidden="1"/>
    </xf>
    <xf numFmtId="0" fontId="21" fillId="0" borderId="0" xfId="3" applyFont="1" applyFill="1"/>
    <xf numFmtId="0" fontId="9" fillId="0" borderId="0" xfId="0" applyFont="1" applyAlignment="1" applyProtection="1">
      <alignment vertical="center"/>
      <protection hidden="1"/>
    </xf>
    <xf numFmtId="0" fontId="16" fillId="0" borderId="0" xfId="3" applyFill="1" applyAlignment="1">
      <alignment vertical="center"/>
    </xf>
    <xf numFmtId="164" fontId="0" fillId="18" borderId="0" xfId="0" applyNumberFormat="1" applyFill="1"/>
    <xf numFmtId="164" fontId="0" fillId="19" borderId="0" xfId="0" applyNumberFormat="1" applyFill="1"/>
    <xf numFmtId="164" fontId="12" fillId="0" borderId="0" xfId="0" applyNumberFormat="1" applyFont="1"/>
    <xf numFmtId="164" fontId="28" fillId="0" borderId="0" xfId="1" applyNumberFormat="1" applyFont="1" applyFill="1" applyAlignment="1">
      <alignment vertical="center"/>
    </xf>
    <xf numFmtId="0" fontId="17" fillId="10" borderId="9" xfId="3" applyFont="1" applyFill="1" applyBorder="1" applyAlignment="1">
      <alignment horizontal="center" vertical="center" wrapText="1"/>
    </xf>
    <xf numFmtId="0" fontId="9" fillId="3" borderId="0" xfId="0" applyFont="1" applyFill="1" applyAlignment="1">
      <alignment vertical="center"/>
    </xf>
    <xf numFmtId="0" fontId="18" fillId="3" borderId="0" xfId="3" applyFont="1" applyFill="1" applyBorder="1" applyAlignment="1" applyProtection="1">
      <alignment horizontal="center" vertical="center"/>
      <protection hidden="1"/>
    </xf>
    <xf numFmtId="1" fontId="18" fillId="3" borderId="0" xfId="3" applyNumberFormat="1" applyFont="1" applyFill="1" applyBorder="1" applyAlignment="1" applyProtection="1">
      <alignment horizontal="center" vertical="center"/>
      <protection hidden="1"/>
    </xf>
    <xf numFmtId="10" fontId="18" fillId="3" borderId="0" xfId="1" applyNumberFormat="1" applyFont="1" applyFill="1" applyBorder="1" applyAlignment="1" applyProtection="1">
      <alignment horizontal="center" vertical="center"/>
      <protection hidden="1"/>
    </xf>
    <xf numFmtId="1" fontId="19" fillId="3" borderId="0" xfId="3" applyNumberFormat="1" applyFont="1" applyFill="1" applyBorder="1" applyAlignment="1" applyProtection="1">
      <alignment horizontal="center" vertical="center"/>
      <protection hidden="1"/>
    </xf>
    <xf numFmtId="2" fontId="18" fillId="3" borderId="0" xfId="3" applyNumberFormat="1" applyFont="1" applyFill="1" applyBorder="1" applyAlignment="1" applyProtection="1">
      <alignment horizontal="center" vertical="center"/>
      <protection hidden="1"/>
    </xf>
    <xf numFmtId="9" fontId="18" fillId="3" borderId="0" xfId="1" applyFont="1" applyFill="1" applyBorder="1" applyAlignment="1" applyProtection="1">
      <alignment horizontal="center" vertical="center"/>
      <protection hidden="1"/>
    </xf>
    <xf numFmtId="4" fontId="4" fillId="3" borderId="0" xfId="0" applyNumberFormat="1" applyFont="1" applyFill="1" applyAlignment="1">
      <alignment vertical="center"/>
    </xf>
    <xf numFmtId="0" fontId="17" fillId="10" borderId="13" xfId="3" applyFont="1" applyFill="1" applyBorder="1" applyAlignment="1">
      <alignment horizontal="center" vertical="center"/>
    </xf>
    <xf numFmtId="0" fontId="17" fillId="10" borderId="14" xfId="3" applyFont="1" applyFill="1" applyBorder="1" applyAlignment="1">
      <alignment horizontal="center" vertical="center" wrapText="1"/>
    </xf>
    <xf numFmtId="0" fontId="17" fillId="3" borderId="0" xfId="3" applyFont="1" applyFill="1" applyBorder="1" applyAlignment="1">
      <alignment horizontal="center" vertical="center"/>
    </xf>
    <xf numFmtId="0" fontId="18" fillId="0" borderId="0" xfId="3" applyFont="1" applyFill="1" applyBorder="1" applyAlignment="1" applyProtection="1">
      <alignment horizontal="center" vertical="center"/>
    </xf>
    <xf numFmtId="0" fontId="19" fillId="0" borderId="0" xfId="3" applyFont="1" applyFill="1" applyBorder="1" applyAlignment="1" applyProtection="1">
      <alignment vertical="center"/>
      <protection hidden="1"/>
    </xf>
    <xf numFmtId="9" fontId="18" fillId="0" borderId="0" xfId="1" applyFont="1" applyFill="1" applyBorder="1" applyAlignment="1" applyProtection="1">
      <alignment horizontal="center" vertical="center"/>
      <protection hidden="1"/>
    </xf>
    <xf numFmtId="0" fontId="17" fillId="10" borderId="14" xfId="3" applyFont="1" applyFill="1" applyBorder="1" applyAlignment="1">
      <alignment horizontal="left" vertical="center"/>
    </xf>
    <xf numFmtId="0" fontId="17" fillId="0" borderId="0" xfId="3" applyFont="1" applyFill="1" applyBorder="1" applyAlignment="1">
      <alignment horizontal="center" vertical="center"/>
    </xf>
    <xf numFmtId="0" fontId="18" fillId="0" borderId="0" xfId="3" applyFont="1" applyFill="1" applyBorder="1" applyAlignment="1" applyProtection="1">
      <alignment horizontal="center" vertical="center"/>
      <protection hidden="1"/>
    </xf>
    <xf numFmtId="0" fontId="19" fillId="0" borderId="0" xfId="3" applyFont="1" applyFill="1" applyBorder="1" applyAlignment="1" applyProtection="1">
      <alignment horizontal="center" vertical="center"/>
    </xf>
    <xf numFmtId="0" fontId="19" fillId="16" borderId="11" xfId="3" applyFont="1" applyFill="1" applyBorder="1" applyAlignment="1" applyProtection="1">
      <alignment horizontal="center" vertical="center"/>
      <protection hidden="1"/>
    </xf>
    <xf numFmtId="164" fontId="28" fillId="0" borderId="0" xfId="1" applyNumberFormat="1" applyFont="1" applyFill="1" applyAlignment="1">
      <alignment horizontal="center" vertical="center"/>
    </xf>
    <xf numFmtId="0" fontId="29" fillId="3" borderId="0" xfId="3" applyFont="1" applyFill="1" applyAlignment="1" applyProtection="1">
      <alignment vertical="center"/>
      <protection hidden="1"/>
    </xf>
    <xf numFmtId="0" fontId="21" fillId="0" borderId="0" xfId="3" applyFont="1" applyFill="1" applyAlignment="1">
      <alignment horizontal="left" vertical="center"/>
    </xf>
    <xf numFmtId="0" fontId="22" fillId="0" borderId="0" xfId="3" applyFont="1" applyFill="1" applyAlignment="1" applyProtection="1">
      <alignment vertical="center"/>
      <protection hidden="1"/>
    </xf>
    <xf numFmtId="0" fontId="22" fillId="0" borderId="0" xfId="3" applyFont="1" applyFill="1" applyAlignment="1">
      <alignment vertical="center"/>
    </xf>
    <xf numFmtId="164" fontId="12" fillId="0" borderId="0" xfId="1" applyNumberFormat="1" applyFont="1" applyFill="1" applyBorder="1" applyAlignment="1" applyProtection="1">
      <alignment vertical="center"/>
      <protection hidden="1"/>
    </xf>
    <xf numFmtId="0" fontId="32" fillId="0" borderId="0" xfId="0" applyFont="1" applyAlignment="1">
      <alignment horizontal="left" vertical="center"/>
    </xf>
    <xf numFmtId="0" fontId="31" fillId="0" borderId="0" xfId="0" applyFont="1" applyAlignment="1" applyProtection="1">
      <alignment vertical="center"/>
      <protection hidden="1"/>
    </xf>
    <xf numFmtId="0" fontId="31" fillId="0" borderId="0" xfId="3" applyFont="1" applyFill="1" applyAlignment="1">
      <alignment vertical="center"/>
    </xf>
    <xf numFmtId="0" fontId="21" fillId="20" borderId="0" xfId="3" applyFont="1" applyFill="1"/>
    <xf numFmtId="0" fontId="32" fillId="20" borderId="0" xfId="0" applyFont="1" applyFill="1" applyAlignment="1">
      <alignment horizontal="left" vertical="center"/>
    </xf>
    <xf numFmtId="0" fontId="21" fillId="20" borderId="0" xfId="3" applyFont="1" applyFill="1" applyAlignment="1">
      <alignment horizontal="left" vertical="center"/>
    </xf>
    <xf numFmtId="0" fontId="9" fillId="20" borderId="0" xfId="0" applyFont="1" applyFill="1" applyAlignment="1" applyProtection="1">
      <alignment vertical="center"/>
      <protection hidden="1"/>
    </xf>
    <xf numFmtId="0" fontId="24" fillId="20" borderId="0" xfId="3" applyFont="1" applyFill="1" applyAlignment="1">
      <alignment vertical="center"/>
    </xf>
    <xf numFmtId="0" fontId="9" fillId="20" borderId="0" xfId="0" applyFont="1" applyFill="1" applyAlignment="1">
      <alignment vertical="center"/>
    </xf>
    <xf numFmtId="0" fontId="0" fillId="20" borderId="0" xfId="0" applyFill="1"/>
    <xf numFmtId="0" fontId="30" fillId="0" borderId="0" xfId="3" applyFont="1" applyFill="1"/>
    <xf numFmtId="0" fontId="19" fillId="21" borderId="15" xfId="3" applyFont="1" applyFill="1" applyBorder="1" applyAlignment="1" applyProtection="1">
      <alignment vertical="center"/>
      <protection hidden="1"/>
    </xf>
    <xf numFmtId="0" fontId="18" fillId="21" borderId="11" xfId="3" applyFont="1" applyFill="1" applyBorder="1" applyAlignment="1" applyProtection="1">
      <alignment horizontal="center" vertical="center"/>
      <protection hidden="1"/>
    </xf>
    <xf numFmtId="0" fontId="19" fillId="21" borderId="16" xfId="3" applyFont="1" applyFill="1" applyBorder="1" applyAlignment="1" applyProtection="1">
      <alignment vertical="center"/>
      <protection hidden="1"/>
    </xf>
    <xf numFmtId="1" fontId="18" fillId="21" borderId="11" xfId="3" applyNumberFormat="1" applyFont="1" applyFill="1" applyBorder="1" applyAlignment="1" applyProtection="1">
      <alignment horizontal="center" vertical="center"/>
      <protection hidden="1"/>
    </xf>
    <xf numFmtId="0" fontId="19" fillId="21" borderId="17" xfId="3" applyFont="1" applyFill="1" applyBorder="1" applyAlignment="1" applyProtection="1">
      <alignment vertical="center"/>
      <protection hidden="1"/>
    </xf>
    <xf numFmtId="1" fontId="18" fillId="21" borderId="10" xfId="3" applyNumberFormat="1" applyFont="1" applyFill="1" applyBorder="1" applyAlignment="1" applyProtection="1">
      <alignment horizontal="center" vertical="center"/>
      <protection hidden="1"/>
    </xf>
    <xf numFmtId="10" fontId="18" fillId="21" borderId="11" xfId="1" applyNumberFormat="1" applyFont="1" applyFill="1" applyBorder="1" applyAlignment="1" applyProtection="1">
      <alignment horizontal="center" vertical="center"/>
      <protection hidden="1"/>
    </xf>
    <xf numFmtId="0" fontId="19" fillId="21" borderId="18" xfId="3" applyFont="1" applyFill="1" applyBorder="1" applyAlignment="1" applyProtection="1">
      <alignment vertical="center"/>
      <protection hidden="1"/>
    </xf>
    <xf numFmtId="1" fontId="18" fillId="21" borderId="12" xfId="3" applyNumberFormat="1" applyFont="1" applyFill="1" applyBorder="1" applyAlignment="1" applyProtection="1">
      <alignment horizontal="center" vertical="center"/>
      <protection hidden="1"/>
    </xf>
    <xf numFmtId="0" fontId="19" fillId="21" borderId="19" xfId="3" applyFont="1" applyFill="1" applyBorder="1" applyAlignment="1" applyProtection="1">
      <alignment vertical="center"/>
      <protection hidden="1"/>
    </xf>
    <xf numFmtId="0" fontId="18" fillId="21" borderId="10" xfId="3" applyFont="1" applyFill="1" applyBorder="1" applyAlignment="1" applyProtection="1">
      <alignment horizontal="center" vertical="center"/>
      <protection hidden="1"/>
    </xf>
    <xf numFmtId="2" fontId="18" fillId="21" borderId="11" xfId="3" applyNumberFormat="1" applyFont="1" applyFill="1" applyBorder="1" applyAlignment="1" applyProtection="1">
      <alignment horizontal="center" vertical="center"/>
      <protection hidden="1"/>
    </xf>
    <xf numFmtId="0" fontId="19" fillId="21" borderId="20" xfId="3" applyFont="1" applyFill="1" applyBorder="1" applyAlignment="1" applyProtection="1">
      <alignment vertical="center"/>
      <protection hidden="1"/>
    </xf>
    <xf numFmtId="9" fontId="18" fillId="21" borderId="11" xfId="1" applyFont="1" applyFill="1" applyBorder="1" applyAlignment="1" applyProtection="1">
      <alignment horizontal="center" vertical="center"/>
      <protection hidden="1"/>
    </xf>
    <xf numFmtId="0" fontId="36" fillId="13" borderId="0" xfId="0" applyFont="1" applyFill="1" applyAlignment="1" applyProtection="1">
      <alignment vertical="center"/>
      <protection hidden="1"/>
    </xf>
    <xf numFmtId="0" fontId="37" fillId="3" borderId="0" xfId="0" applyFont="1" applyFill="1" applyAlignment="1">
      <alignment horizontal="right" vertical="center"/>
    </xf>
    <xf numFmtId="0" fontId="38" fillId="3" borderId="0" xfId="0" applyFont="1" applyFill="1" applyAlignment="1">
      <alignment horizontal="center" vertical="center"/>
    </xf>
    <xf numFmtId="0" fontId="0" fillId="0" borderId="23" xfId="0" applyBorder="1"/>
    <xf numFmtId="0" fontId="0" fillId="0" borderId="24" xfId="0" applyBorder="1"/>
    <xf numFmtId="170" fontId="0" fillId="0" borderId="0" xfId="4" applyNumberFormat="1" applyFont="1"/>
    <xf numFmtId="0" fontId="2" fillId="0" borderId="28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34" xfId="0" applyBorder="1"/>
    <xf numFmtId="0" fontId="0" fillId="0" borderId="35" xfId="0" applyBorder="1"/>
    <xf numFmtId="43" fontId="0" fillId="0" borderId="23" xfId="0" applyNumberFormat="1" applyBorder="1"/>
    <xf numFmtId="43" fontId="0" fillId="0" borderId="0" xfId="0" applyNumberFormat="1"/>
    <xf numFmtId="0" fontId="2" fillId="0" borderId="34" xfId="0" applyFont="1" applyBorder="1" applyAlignment="1">
      <alignment horizontal="center"/>
    </xf>
    <xf numFmtId="0" fontId="0" fillId="0" borderId="36" xfId="0" applyBorder="1"/>
    <xf numFmtId="0" fontId="0" fillId="0" borderId="38" xfId="0" applyBorder="1"/>
    <xf numFmtId="0" fontId="0" fillId="0" borderId="39" xfId="0" applyBorder="1"/>
    <xf numFmtId="0" fontId="2" fillId="0" borderId="23" xfId="0" applyFont="1" applyBorder="1" applyAlignment="1">
      <alignment horizontal="center"/>
    </xf>
    <xf numFmtId="0" fontId="0" fillId="0" borderId="23" xfId="0" applyBorder="1" applyAlignment="1">
      <alignment horizontal="center"/>
    </xf>
    <xf numFmtId="43" fontId="0" fillId="0" borderId="23" xfId="4" applyFont="1" applyBorder="1"/>
    <xf numFmtId="43" fontId="0" fillId="0" borderId="24" xfId="0" applyNumberFormat="1" applyBorder="1"/>
    <xf numFmtId="43" fontId="0" fillId="0" borderId="23" xfId="0" applyNumberFormat="1" applyBorder="1" applyAlignment="1">
      <alignment horizontal="center"/>
    </xf>
    <xf numFmtId="43" fontId="0" fillId="0" borderId="24" xfId="4" applyFont="1" applyBorder="1"/>
    <xf numFmtId="0" fontId="43" fillId="24" borderId="26" xfId="0" applyFont="1" applyFill="1" applyBorder="1" applyAlignment="1">
      <alignment horizontal="center" vertical="center"/>
    </xf>
    <xf numFmtId="0" fontId="43" fillId="24" borderId="27" xfId="0" applyFont="1" applyFill="1" applyBorder="1" applyAlignment="1">
      <alignment horizontal="center" vertical="center"/>
    </xf>
    <xf numFmtId="0" fontId="44" fillId="0" borderId="0" xfId="0" applyFont="1"/>
    <xf numFmtId="0" fontId="48" fillId="0" borderId="0" xfId="0" applyFont="1"/>
    <xf numFmtId="0" fontId="48" fillId="0" borderId="0" xfId="0" applyFont="1" applyAlignment="1">
      <alignment horizontal="right"/>
    </xf>
    <xf numFmtId="0" fontId="42" fillId="0" borderId="50" xfId="0" applyFont="1" applyBorder="1" applyAlignment="1">
      <alignment horizontal="right" wrapText="1"/>
    </xf>
    <xf numFmtId="0" fontId="42" fillId="0" borderId="51" xfId="0" applyFont="1" applyBorder="1" applyAlignment="1">
      <alignment horizontal="right" wrapText="1"/>
    </xf>
    <xf numFmtId="0" fontId="45" fillId="0" borderId="50" xfId="0" applyFont="1" applyBorder="1" applyAlignment="1">
      <alignment horizontal="right"/>
    </xf>
    <xf numFmtId="0" fontId="45" fillId="0" borderId="52" xfId="0" applyFont="1" applyBorder="1" applyAlignment="1">
      <alignment horizontal="right"/>
    </xf>
    <xf numFmtId="0" fontId="44" fillId="0" borderId="50" xfId="0" applyFont="1" applyBorder="1" applyAlignment="1">
      <alignment horizontal="right"/>
    </xf>
    <xf numFmtId="0" fontId="45" fillId="0" borderId="50" xfId="0" applyFont="1" applyBorder="1" applyAlignment="1">
      <alignment horizontal="center" vertical="center"/>
    </xf>
    <xf numFmtId="0" fontId="42" fillId="0" borderId="50" xfId="0" applyFont="1" applyBorder="1" applyAlignment="1">
      <alignment horizontal="justify" vertical="center"/>
    </xf>
    <xf numFmtId="0" fontId="49" fillId="0" borderId="50" xfId="0" applyFont="1" applyBorder="1" applyAlignment="1">
      <alignment horizontal="justify" vertical="center"/>
    </xf>
    <xf numFmtId="0" fontId="50" fillId="0" borderId="50" xfId="0" applyFont="1" applyBorder="1" applyAlignment="1">
      <alignment horizontal="justify" vertical="center"/>
    </xf>
    <xf numFmtId="0" fontId="51" fillId="23" borderId="50" xfId="8" applyFont="1" applyBorder="1" applyAlignment="1">
      <alignment horizontal="center" vertical="center"/>
    </xf>
    <xf numFmtId="0" fontId="51" fillId="23" borderId="50" xfId="8" applyFont="1" applyBorder="1" applyAlignment="1">
      <alignment horizontal="right" wrapText="1"/>
    </xf>
    <xf numFmtId="0" fontId="47" fillId="22" borderId="53" xfId="7" applyFont="1" applyBorder="1" applyAlignment="1">
      <alignment horizontal="justify" vertical="center"/>
    </xf>
    <xf numFmtId="0" fontId="47" fillId="22" borderId="53" xfId="7" applyFont="1" applyBorder="1" applyAlignment="1">
      <alignment horizontal="right"/>
    </xf>
    <xf numFmtId="0" fontId="44" fillId="0" borderId="0" xfId="0" applyFont="1" applyAlignment="1">
      <alignment horizontal="right"/>
    </xf>
    <xf numFmtId="43" fontId="0" fillId="0" borderId="0" xfId="4" applyFont="1"/>
    <xf numFmtId="43" fontId="0" fillId="0" borderId="0" xfId="4" applyFont="1" applyBorder="1"/>
    <xf numFmtId="43" fontId="0" fillId="0" borderId="38" xfId="4" applyFont="1" applyBorder="1"/>
    <xf numFmtId="0" fontId="0" fillId="0" borderId="0" xfId="4" applyNumberFormat="1" applyFont="1"/>
    <xf numFmtId="43" fontId="0" fillId="0" borderId="39" xfId="4" applyFont="1" applyBorder="1"/>
    <xf numFmtId="43" fontId="18" fillId="21" borderId="11" xfId="3" applyNumberFormat="1" applyFont="1" applyFill="1" applyBorder="1" applyAlignment="1" applyProtection="1">
      <alignment horizontal="center" vertical="center"/>
      <protection hidden="1"/>
    </xf>
    <xf numFmtId="10" fontId="18" fillId="21" borderId="10" xfId="1" applyNumberFormat="1" applyFont="1" applyFill="1" applyBorder="1" applyAlignment="1" applyProtection="1">
      <alignment horizontal="center" vertical="center"/>
      <protection hidden="1"/>
    </xf>
    <xf numFmtId="10" fontId="18" fillId="21" borderId="12" xfId="1" applyNumberFormat="1" applyFont="1" applyFill="1" applyBorder="1" applyAlignment="1" applyProtection="1">
      <alignment horizontal="center" vertical="center"/>
      <protection hidden="1"/>
    </xf>
    <xf numFmtId="2" fontId="18" fillId="21" borderId="11" xfId="1" applyNumberFormat="1" applyFont="1" applyFill="1" applyBorder="1" applyAlignment="1" applyProtection="1">
      <alignment horizontal="center" vertical="center"/>
      <protection hidden="1"/>
    </xf>
    <xf numFmtId="43" fontId="0" fillId="11" borderId="0" xfId="4" applyFont="1" applyFill="1" applyAlignment="1">
      <alignment horizontal="center"/>
    </xf>
    <xf numFmtId="43" fontId="0" fillId="6" borderId="0" xfId="4" applyFont="1" applyFill="1" applyAlignment="1">
      <alignment horizontal="center"/>
    </xf>
    <xf numFmtId="170" fontId="0" fillId="6" borderId="0" xfId="4" applyNumberFormat="1" applyFont="1" applyFill="1" applyAlignment="1">
      <alignment horizontal="center"/>
    </xf>
    <xf numFmtId="170" fontId="0" fillId="10" borderId="0" xfId="4" applyNumberFormat="1" applyFont="1" applyFill="1" applyAlignment="1">
      <alignment horizontal="center"/>
    </xf>
    <xf numFmtId="170" fontId="0" fillId="0" borderId="0" xfId="4" applyNumberFormat="1" applyFont="1" applyAlignment="1">
      <alignment horizontal="center"/>
    </xf>
    <xf numFmtId="170" fontId="0" fillId="11" borderId="0" xfId="4" applyNumberFormat="1" applyFont="1" applyFill="1" applyAlignment="1">
      <alignment horizontal="center"/>
    </xf>
    <xf numFmtId="0" fontId="53" fillId="2" borderId="0" xfId="0" applyFont="1" applyFill="1" applyAlignment="1">
      <alignment vertical="center"/>
    </xf>
    <xf numFmtId="0" fontId="53" fillId="0" borderId="0" xfId="0" applyFont="1" applyAlignment="1">
      <alignment horizontal="center" vertical="center"/>
    </xf>
    <xf numFmtId="0" fontId="53" fillId="0" borderId="0" xfId="0" applyFont="1"/>
    <xf numFmtId="0" fontId="55" fillId="0" borderId="0" xfId="6" applyFont="1" applyBorder="1" applyAlignment="1">
      <alignment vertical="center"/>
    </xf>
    <xf numFmtId="0" fontId="57" fillId="0" borderId="22" xfId="6" applyFont="1" applyBorder="1" applyAlignment="1">
      <alignment vertical="center"/>
    </xf>
    <xf numFmtId="0" fontId="57" fillId="0" borderId="0" xfId="6" applyFont="1" applyBorder="1" applyAlignment="1">
      <alignment vertical="center"/>
    </xf>
    <xf numFmtId="0" fontId="58" fillId="24" borderId="40" xfId="0" applyFont="1" applyFill="1" applyBorder="1" applyAlignment="1">
      <alignment vertical="center"/>
    </xf>
    <xf numFmtId="164" fontId="56" fillId="3" borderId="23" xfId="1" applyNumberFormat="1" applyFont="1" applyFill="1" applyBorder="1" applyAlignment="1">
      <alignment vertical="center" wrapText="1"/>
    </xf>
    <xf numFmtId="164" fontId="56" fillId="3" borderId="24" xfId="1" applyNumberFormat="1" applyFont="1" applyFill="1" applyBorder="1" applyAlignment="1">
      <alignment vertical="center" wrapText="1"/>
    </xf>
    <xf numFmtId="0" fontId="56" fillId="3" borderId="23" xfId="0" applyFont="1" applyFill="1" applyBorder="1" applyAlignment="1">
      <alignment vertical="center"/>
    </xf>
    <xf numFmtId="0" fontId="59" fillId="25" borderId="72" xfId="0" applyFont="1" applyFill="1" applyBorder="1" applyAlignment="1">
      <alignment vertical="center"/>
    </xf>
    <xf numFmtId="0" fontId="59" fillId="25" borderId="32" xfId="0" applyFont="1" applyFill="1" applyBorder="1" applyAlignment="1">
      <alignment vertical="center"/>
    </xf>
    <xf numFmtId="0" fontId="60" fillId="26" borderId="33" xfId="0" applyFont="1" applyFill="1" applyBorder="1" applyAlignment="1">
      <alignment vertical="center"/>
    </xf>
    <xf numFmtId="9" fontId="56" fillId="2" borderId="23" xfId="1" applyFont="1" applyFill="1" applyBorder="1" applyAlignment="1">
      <alignment vertical="center"/>
    </xf>
    <xf numFmtId="9" fontId="56" fillId="2" borderId="24" xfId="1" applyFont="1" applyFill="1" applyBorder="1" applyAlignment="1">
      <alignment vertical="center"/>
    </xf>
    <xf numFmtId="0" fontId="56" fillId="3" borderId="67" xfId="0" applyFont="1" applyFill="1" applyBorder="1" applyAlignment="1">
      <alignment vertical="center"/>
    </xf>
    <xf numFmtId="0" fontId="56" fillId="0" borderId="23" xfId="0" applyFont="1" applyBorder="1" applyAlignment="1">
      <alignment vertical="center"/>
    </xf>
    <xf numFmtId="0" fontId="56" fillId="0" borderId="24" xfId="0" applyFont="1" applyBorder="1" applyAlignment="1">
      <alignment vertical="center"/>
    </xf>
    <xf numFmtId="0" fontId="59" fillId="25" borderId="67" xfId="0" applyFont="1" applyFill="1" applyBorder="1" applyAlignment="1">
      <alignment vertical="center"/>
    </xf>
    <xf numFmtId="0" fontId="59" fillId="25" borderId="23" xfId="0" applyFont="1" applyFill="1" applyBorder="1" applyAlignment="1">
      <alignment vertical="center"/>
    </xf>
    <xf numFmtId="0" fontId="60" fillId="26" borderId="24" xfId="0" applyFont="1" applyFill="1" applyBorder="1" applyAlignment="1">
      <alignment vertical="center"/>
    </xf>
    <xf numFmtId="169" fontId="56" fillId="2" borderId="23" xfId="0" applyNumberFormat="1" applyFont="1" applyFill="1" applyBorder="1" applyAlignment="1">
      <alignment vertical="center"/>
    </xf>
    <xf numFmtId="169" fontId="56" fillId="2" borderId="24" xfId="0" applyNumberFormat="1" applyFont="1" applyFill="1" applyBorder="1" applyAlignment="1">
      <alignment vertical="center"/>
    </xf>
    <xf numFmtId="169" fontId="55" fillId="24" borderId="67" xfId="0" applyNumberFormat="1" applyFont="1" applyFill="1" applyBorder="1" applyAlignment="1">
      <alignment vertical="center"/>
    </xf>
    <xf numFmtId="169" fontId="55" fillId="24" borderId="23" xfId="0" applyNumberFormat="1" applyFont="1" applyFill="1" applyBorder="1" applyAlignment="1">
      <alignment vertical="center"/>
    </xf>
    <xf numFmtId="169" fontId="56" fillId="28" borderId="23" xfId="0" applyNumberFormat="1" applyFont="1" applyFill="1" applyBorder="1" applyAlignment="1">
      <alignment vertical="center"/>
    </xf>
    <xf numFmtId="169" fontId="56" fillId="28" borderId="24" xfId="0" applyNumberFormat="1" applyFont="1" applyFill="1" applyBorder="1" applyAlignment="1">
      <alignment vertical="center"/>
    </xf>
    <xf numFmtId="169" fontId="56" fillId="28" borderId="38" xfId="0" applyNumberFormat="1" applyFont="1" applyFill="1" applyBorder="1" applyAlignment="1">
      <alignment vertical="center"/>
    </xf>
    <xf numFmtId="169" fontId="56" fillId="28" borderId="39" xfId="0" applyNumberFormat="1" applyFont="1" applyFill="1" applyBorder="1" applyAlignment="1">
      <alignment vertical="center"/>
    </xf>
    <xf numFmtId="0" fontId="56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62" fillId="0" borderId="0" xfId="9" applyFont="1" applyAlignment="1" applyProtection="1">
      <alignment vertical="center"/>
    </xf>
    <xf numFmtId="0" fontId="63" fillId="25" borderId="34" xfId="0" applyFont="1" applyFill="1" applyBorder="1" applyAlignment="1">
      <alignment horizontal="center" vertical="center"/>
    </xf>
    <xf numFmtId="0" fontId="64" fillId="27" borderId="34" xfId="0" applyFont="1" applyFill="1" applyBorder="1" applyAlignment="1">
      <alignment horizontal="center" vertical="center"/>
    </xf>
    <xf numFmtId="0" fontId="64" fillId="0" borderId="34" xfId="0" applyFont="1" applyBorder="1" applyAlignment="1">
      <alignment horizontal="center" vertical="center"/>
    </xf>
    <xf numFmtId="0" fontId="65" fillId="24" borderId="34" xfId="0" applyFont="1" applyFill="1" applyBorder="1" applyAlignment="1">
      <alignment horizontal="center" vertical="center"/>
    </xf>
    <xf numFmtId="0" fontId="66" fillId="24" borderId="73" xfId="0" applyFont="1" applyFill="1" applyBorder="1" applyAlignment="1">
      <alignment horizontal="center" vertical="center"/>
    </xf>
    <xf numFmtId="0" fontId="66" fillId="24" borderId="26" xfId="0" applyFont="1" applyFill="1" applyBorder="1" applyAlignment="1">
      <alignment horizontal="center" vertical="center"/>
    </xf>
    <xf numFmtId="0" fontId="66" fillId="24" borderId="27" xfId="0" applyFont="1" applyFill="1" applyBorder="1" applyAlignment="1">
      <alignment horizontal="center" vertical="center"/>
    </xf>
    <xf numFmtId="0" fontId="67" fillId="26" borderId="32" xfId="0" applyFont="1" applyFill="1" applyBorder="1" applyAlignment="1">
      <alignment horizontal="center" vertical="center"/>
    </xf>
    <xf numFmtId="0" fontId="67" fillId="26" borderId="23" xfId="0" applyFont="1" applyFill="1" applyBorder="1" applyAlignment="1">
      <alignment horizontal="center" vertical="center"/>
    </xf>
    <xf numFmtId="0" fontId="73" fillId="25" borderId="34" xfId="0" applyFont="1" applyFill="1" applyBorder="1" applyAlignment="1">
      <alignment horizontal="left"/>
    </xf>
    <xf numFmtId="0" fontId="74" fillId="21" borderId="34" xfId="0" applyFont="1" applyFill="1" applyBorder="1" applyAlignment="1">
      <alignment horizontal="left" vertical="center"/>
    </xf>
    <xf numFmtId="0" fontId="74" fillId="27" borderId="34" xfId="0" applyFont="1" applyFill="1" applyBorder="1" applyAlignment="1">
      <alignment horizontal="left" vertical="center"/>
    </xf>
    <xf numFmtId="0" fontId="73" fillId="25" borderId="34" xfId="0" applyFont="1" applyFill="1" applyBorder="1" applyAlignment="1">
      <alignment horizontal="left" vertical="top"/>
    </xf>
    <xf numFmtId="1" fontId="56" fillId="21" borderId="67" xfId="0" applyNumberFormat="1" applyFont="1" applyFill="1" applyBorder="1" applyAlignment="1">
      <alignment vertical="center"/>
    </xf>
    <xf numFmtId="1" fontId="56" fillId="21" borderId="23" xfId="0" applyNumberFormat="1" applyFont="1" applyFill="1" applyBorder="1" applyAlignment="1">
      <alignment vertical="center"/>
    </xf>
    <xf numFmtId="169" fontId="56" fillId="21" borderId="67" xfId="0" applyNumberFormat="1" applyFont="1" applyFill="1" applyBorder="1" applyAlignment="1">
      <alignment vertical="center"/>
    </xf>
    <xf numFmtId="169" fontId="56" fillId="21" borderId="23" xfId="0" applyNumberFormat="1" applyFont="1" applyFill="1" applyBorder="1" applyAlignment="1">
      <alignment vertical="center"/>
    </xf>
    <xf numFmtId="9" fontId="56" fillId="21" borderId="67" xfId="0" applyNumberFormat="1" applyFont="1" applyFill="1" applyBorder="1" applyAlignment="1">
      <alignment vertical="center"/>
    </xf>
    <xf numFmtId="10" fontId="56" fillId="21" borderId="23" xfId="1" applyNumberFormat="1" applyFont="1" applyFill="1" applyBorder="1" applyAlignment="1">
      <alignment vertical="center" wrapText="1"/>
    </xf>
    <xf numFmtId="164" fontId="56" fillId="21" borderId="23" xfId="1" applyNumberFormat="1" applyFont="1" applyFill="1" applyBorder="1" applyAlignment="1">
      <alignment vertical="center" wrapText="1"/>
    </xf>
    <xf numFmtId="0" fontId="56" fillId="21" borderId="67" xfId="0" applyFont="1" applyFill="1" applyBorder="1" applyAlignment="1">
      <alignment vertical="center"/>
    </xf>
    <xf numFmtId="0" fontId="56" fillId="21" borderId="23" xfId="0" applyFont="1" applyFill="1" applyBorder="1" applyAlignment="1">
      <alignment vertical="center"/>
    </xf>
    <xf numFmtId="169" fontId="55" fillId="21" borderId="67" xfId="0" quotePrefix="1" applyNumberFormat="1" applyFont="1" applyFill="1" applyBorder="1" applyAlignment="1">
      <alignment vertical="center"/>
    </xf>
    <xf numFmtId="169" fontId="55" fillId="21" borderId="23" xfId="0" quotePrefix="1" applyNumberFormat="1" applyFont="1" applyFill="1" applyBorder="1" applyAlignment="1">
      <alignment vertical="center"/>
    </xf>
    <xf numFmtId="0" fontId="76" fillId="25" borderId="61" xfId="0" applyFont="1" applyFill="1" applyBorder="1"/>
    <xf numFmtId="0" fontId="76" fillId="25" borderId="62" xfId="0" applyFont="1" applyFill="1" applyBorder="1"/>
    <xf numFmtId="43" fontId="53" fillId="0" borderId="0" xfId="4" applyFont="1" applyAlignment="1">
      <alignment horizontal="right"/>
    </xf>
    <xf numFmtId="170" fontId="53" fillId="0" borderId="0" xfId="4" applyNumberFormat="1" applyFont="1"/>
    <xf numFmtId="0" fontId="54" fillId="0" borderId="0" xfId="0" applyFont="1"/>
    <xf numFmtId="0" fontId="53" fillId="0" borderId="34" xfId="0" applyFont="1" applyBorder="1"/>
    <xf numFmtId="3" fontId="53" fillId="0" borderId="23" xfId="0" applyNumberFormat="1" applyFont="1" applyBorder="1" applyAlignment="1">
      <alignment vertical="center"/>
    </xf>
    <xf numFmtId="0" fontId="53" fillId="21" borderId="23" xfId="0" applyFont="1" applyFill="1" applyBorder="1"/>
    <xf numFmtId="0" fontId="53" fillId="0" borderId="23" xfId="0" applyFont="1" applyBorder="1"/>
    <xf numFmtId="1" fontId="53" fillId="0" borderId="0" xfId="0" applyNumberFormat="1" applyFont="1"/>
    <xf numFmtId="43" fontId="53" fillId="0" borderId="24" xfId="4" applyFont="1" applyBorder="1" applyAlignment="1">
      <alignment horizontal="right"/>
    </xf>
    <xf numFmtId="0" fontId="54" fillId="21" borderId="34" xfId="0" quotePrefix="1" applyFont="1" applyFill="1" applyBorder="1"/>
    <xf numFmtId="43" fontId="53" fillId="0" borderId="0" xfId="0" applyNumberFormat="1" applyFont="1"/>
    <xf numFmtId="0" fontId="53" fillId="0" borderId="36" xfId="0" applyFont="1" applyBorder="1"/>
    <xf numFmtId="0" fontId="53" fillId="0" borderId="38" xfId="0" applyFont="1" applyBorder="1"/>
    <xf numFmtId="43" fontId="53" fillId="0" borderId="39" xfId="4" applyFont="1" applyBorder="1" applyAlignment="1">
      <alignment horizontal="right"/>
    </xf>
    <xf numFmtId="0" fontId="53" fillId="0" borderId="41" xfId="0" applyFont="1" applyBorder="1"/>
    <xf numFmtId="0" fontId="53" fillId="0" borderId="45" xfId="0" applyFont="1" applyBorder="1"/>
    <xf numFmtId="0" fontId="53" fillId="0" borderId="67" xfId="0" applyFont="1" applyBorder="1"/>
    <xf numFmtId="0" fontId="76" fillId="25" borderId="23" xfId="0" applyFont="1" applyFill="1" applyBorder="1"/>
    <xf numFmtId="0" fontId="78" fillId="21" borderId="23" xfId="0" applyFont="1" applyFill="1" applyBorder="1"/>
    <xf numFmtId="0" fontId="53" fillId="21" borderId="23" xfId="0" quotePrefix="1" applyFont="1" applyFill="1" applyBorder="1"/>
    <xf numFmtId="0" fontId="54" fillId="21" borderId="23" xfId="0" quotePrefix="1" applyFont="1" applyFill="1" applyBorder="1"/>
    <xf numFmtId="43" fontId="76" fillId="25" borderId="24" xfId="4" applyFont="1" applyFill="1" applyBorder="1" applyAlignment="1"/>
    <xf numFmtId="43" fontId="76" fillId="25" borderId="63" xfId="4" applyFont="1" applyFill="1" applyBorder="1" applyAlignment="1"/>
    <xf numFmtId="3" fontId="53" fillId="0" borderId="34" xfId="0" applyNumberFormat="1" applyFont="1" applyBorder="1" applyAlignment="1">
      <alignment vertical="center"/>
    </xf>
    <xf numFmtId="0" fontId="75" fillId="0" borderId="0" xfId="0" applyFont="1"/>
    <xf numFmtId="0" fontId="72" fillId="24" borderId="40" xfId="0" applyFont="1" applyFill="1" applyBorder="1" applyAlignment="1">
      <alignment horizontal="center" vertical="center"/>
    </xf>
    <xf numFmtId="0" fontId="74" fillId="0" borderId="0" xfId="0" applyFont="1" applyAlignment="1">
      <alignment horizontal="center" vertical="center"/>
    </xf>
    <xf numFmtId="170" fontId="74" fillId="0" borderId="0" xfId="4" applyNumberFormat="1" applyFont="1" applyAlignment="1">
      <alignment horizontal="center" vertical="center"/>
    </xf>
    <xf numFmtId="0" fontId="53" fillId="21" borderId="42" xfId="0" applyFont="1" applyFill="1" applyBorder="1"/>
    <xf numFmtId="0" fontId="53" fillId="0" borderId="30" xfId="0" applyFont="1" applyBorder="1"/>
    <xf numFmtId="0" fontId="72" fillId="24" borderId="69" xfId="0" applyFont="1" applyFill="1" applyBorder="1" applyAlignment="1">
      <alignment horizontal="center" vertical="center"/>
    </xf>
    <xf numFmtId="0" fontId="53" fillId="0" borderId="70" xfId="0" applyFont="1" applyBorder="1"/>
    <xf numFmtId="0" fontId="0" fillId="0" borderId="50" xfId="0" applyBorder="1"/>
    <xf numFmtId="0" fontId="53" fillId="0" borderId="71" xfId="0" applyFont="1" applyBorder="1"/>
    <xf numFmtId="0" fontId="53" fillId="0" borderId="66" xfId="0" applyFont="1" applyBorder="1"/>
    <xf numFmtId="0" fontId="53" fillId="0" borderId="68" xfId="0" applyFont="1" applyBorder="1"/>
    <xf numFmtId="43" fontId="53" fillId="0" borderId="23" xfId="4" applyFont="1" applyBorder="1"/>
    <xf numFmtId="43" fontId="53" fillId="0" borderId="38" xfId="4" applyFont="1" applyBorder="1"/>
    <xf numFmtId="43" fontId="53" fillId="0" borderId="24" xfId="4" applyFont="1" applyBorder="1"/>
    <xf numFmtId="43" fontId="53" fillId="0" borderId="39" xfId="4" applyFont="1" applyBorder="1"/>
    <xf numFmtId="0" fontId="79" fillId="31" borderId="58" xfId="0" applyFont="1" applyFill="1" applyBorder="1"/>
    <xf numFmtId="1" fontId="53" fillId="21" borderId="23" xfId="0" quotePrefix="1" applyNumberFormat="1" applyFont="1" applyFill="1" applyBorder="1"/>
    <xf numFmtId="0" fontId="72" fillId="24" borderId="23" xfId="0" applyFont="1" applyFill="1" applyBorder="1" applyAlignment="1">
      <alignment horizontal="center" vertical="center"/>
    </xf>
    <xf numFmtId="0" fontId="72" fillId="24" borderId="34" xfId="0" applyFont="1" applyFill="1" applyBorder="1" applyAlignment="1">
      <alignment horizontal="center" vertical="center"/>
    </xf>
    <xf numFmtId="1" fontId="53" fillId="21" borderId="24" xfId="0" quotePrefix="1" applyNumberFormat="1" applyFont="1" applyFill="1" applyBorder="1"/>
    <xf numFmtId="0" fontId="54" fillId="21" borderId="36" xfId="0" quotePrefix="1" applyFont="1" applyFill="1" applyBorder="1"/>
    <xf numFmtId="1" fontId="53" fillId="21" borderId="38" xfId="0" quotePrefix="1" applyNumberFormat="1" applyFont="1" applyFill="1" applyBorder="1"/>
    <xf numFmtId="1" fontId="53" fillId="21" borderId="39" xfId="0" quotePrefix="1" applyNumberFormat="1" applyFont="1" applyFill="1" applyBorder="1"/>
    <xf numFmtId="0" fontId="0" fillId="0" borderId="78" xfId="0" applyBorder="1"/>
    <xf numFmtId="0" fontId="72" fillId="24" borderId="32" xfId="0" applyFont="1" applyFill="1" applyBorder="1" applyAlignment="1">
      <alignment horizontal="center" vertical="center"/>
    </xf>
    <xf numFmtId="0" fontId="72" fillId="24" borderId="33" xfId="0" applyFont="1" applyFill="1" applyBorder="1" applyAlignment="1">
      <alignment horizontal="center" vertical="center"/>
    </xf>
    <xf numFmtId="0" fontId="69" fillId="24" borderId="40" xfId="0" applyFont="1" applyFill="1" applyBorder="1" applyAlignment="1">
      <alignment horizontal="center" vertical="center"/>
    </xf>
    <xf numFmtId="0" fontId="54" fillId="0" borderId="43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54" fillId="0" borderId="75" xfId="0" applyFont="1" applyBorder="1" applyAlignment="1">
      <alignment horizontal="center"/>
    </xf>
    <xf numFmtId="43" fontId="81" fillId="21" borderId="24" xfId="4" applyFont="1" applyFill="1" applyBorder="1" applyAlignment="1">
      <alignment horizontal="left"/>
    </xf>
    <xf numFmtId="0" fontId="81" fillId="0" borderId="0" xfId="0" applyFont="1"/>
    <xf numFmtId="43" fontId="81" fillId="21" borderId="34" xfId="4" applyFont="1" applyFill="1" applyBorder="1" applyAlignment="1">
      <alignment horizontal="left"/>
    </xf>
    <xf numFmtId="0" fontId="81" fillId="21" borderId="23" xfId="0" applyFont="1" applyFill="1" applyBorder="1"/>
    <xf numFmtId="43" fontId="81" fillId="21" borderId="24" xfId="4" applyFont="1" applyFill="1" applyBorder="1" applyAlignment="1">
      <alignment horizontal="right"/>
    </xf>
    <xf numFmtId="0" fontId="81" fillId="21" borderId="34" xfId="0" applyFont="1" applyFill="1" applyBorder="1"/>
    <xf numFmtId="43" fontId="81" fillId="21" borderId="23" xfId="4" applyFont="1" applyFill="1" applyBorder="1" applyAlignment="1">
      <alignment horizontal="left"/>
    </xf>
    <xf numFmtId="0" fontId="52" fillId="0" borderId="37" xfId="0" applyFont="1" applyBorder="1"/>
    <xf numFmtId="169" fontId="79" fillId="31" borderId="58" xfId="0" applyNumberFormat="1" applyFont="1" applyFill="1" applyBorder="1"/>
    <xf numFmtId="0" fontId="69" fillId="24" borderId="41" xfId="0" applyFont="1" applyFill="1" applyBorder="1" applyAlignment="1">
      <alignment horizontal="center" vertical="center"/>
    </xf>
    <xf numFmtId="0" fontId="69" fillId="24" borderId="45" xfId="0" applyFont="1" applyFill="1" applyBorder="1" applyAlignment="1">
      <alignment horizontal="center" vertical="center"/>
    </xf>
    <xf numFmtId="44" fontId="70" fillId="31" borderId="24" xfId="5" applyFont="1" applyFill="1" applyBorder="1" applyAlignment="1"/>
    <xf numFmtId="43" fontId="75" fillId="21" borderId="34" xfId="4" applyFont="1" applyFill="1" applyBorder="1" applyAlignment="1">
      <alignment horizontal="center" vertical="center"/>
    </xf>
    <xf numFmtId="43" fontId="75" fillId="21" borderId="70" xfId="4" applyFont="1" applyFill="1" applyBorder="1" applyAlignment="1">
      <alignment horizontal="center" vertical="center"/>
    </xf>
    <xf numFmtId="43" fontId="75" fillId="21" borderId="36" xfId="4" applyFont="1" applyFill="1" applyBorder="1" applyAlignment="1">
      <alignment horizontal="center" vertical="center"/>
    </xf>
    <xf numFmtId="0" fontId="82" fillId="21" borderId="40" xfId="0" applyFont="1" applyFill="1" applyBorder="1" applyAlignment="1">
      <alignment horizontal="center" vertical="center"/>
    </xf>
    <xf numFmtId="0" fontId="82" fillId="21" borderId="34" xfId="0" applyFont="1" applyFill="1" applyBorder="1" applyAlignment="1">
      <alignment horizontal="center" vertical="center"/>
    </xf>
    <xf numFmtId="0" fontId="71" fillId="21" borderId="34" xfId="0" applyFont="1" applyFill="1" applyBorder="1" applyAlignment="1">
      <alignment horizontal="center" vertical="center"/>
    </xf>
    <xf numFmtId="0" fontId="71" fillId="21" borderId="36" xfId="0" applyFont="1" applyFill="1" applyBorder="1" applyAlignment="1">
      <alignment horizontal="center" vertical="center"/>
    </xf>
    <xf numFmtId="0" fontId="83" fillId="24" borderId="25" xfId="0" applyFont="1" applyFill="1" applyBorder="1" applyAlignment="1">
      <alignment horizontal="center" vertical="center"/>
    </xf>
    <xf numFmtId="0" fontId="83" fillId="24" borderId="26" xfId="0" applyFont="1" applyFill="1" applyBorder="1" applyAlignment="1">
      <alignment horizontal="center" vertical="center"/>
    </xf>
    <xf numFmtId="0" fontId="83" fillId="24" borderId="27" xfId="0" applyFont="1" applyFill="1" applyBorder="1" applyAlignment="1">
      <alignment horizontal="center" vertical="center"/>
    </xf>
    <xf numFmtId="43" fontId="71" fillId="21" borderId="40" xfId="4" applyFont="1" applyFill="1" applyBorder="1" applyAlignment="1">
      <alignment horizontal="center" vertical="center"/>
    </xf>
    <xf numFmtId="43" fontId="71" fillId="21" borderId="34" xfId="4" applyFont="1" applyFill="1" applyBorder="1" applyAlignment="1">
      <alignment horizontal="center" vertical="center"/>
    </xf>
    <xf numFmtId="43" fontId="71" fillId="21" borderId="69" xfId="4" applyFont="1" applyFill="1" applyBorder="1" applyAlignment="1">
      <alignment horizontal="center" vertical="center"/>
    </xf>
    <xf numFmtId="43" fontId="71" fillId="21" borderId="70" xfId="4" applyFont="1" applyFill="1" applyBorder="1" applyAlignment="1">
      <alignment horizontal="center" vertical="center"/>
    </xf>
    <xf numFmtId="0" fontId="81" fillId="0" borderId="79" xfId="0" applyFont="1" applyBorder="1"/>
    <xf numFmtId="0" fontId="81" fillId="0" borderId="80" xfId="0" applyFont="1" applyBorder="1"/>
    <xf numFmtId="0" fontId="81" fillId="0" borderId="81" xfId="0" applyFont="1" applyBorder="1"/>
    <xf numFmtId="0" fontId="84" fillId="0" borderId="0" xfId="0" applyFont="1"/>
    <xf numFmtId="0" fontId="75" fillId="0" borderId="74" xfId="0" applyFont="1" applyBorder="1"/>
    <xf numFmtId="0" fontId="75" fillId="0" borderId="48" xfId="0" applyFont="1" applyBorder="1"/>
    <xf numFmtId="0" fontId="75" fillId="0" borderId="49" xfId="0" applyFont="1" applyBorder="1"/>
    <xf numFmtId="0" fontId="75" fillId="0" borderId="28" xfId="0" applyFont="1" applyBorder="1"/>
    <xf numFmtId="0" fontId="75" fillId="0" borderId="32" xfId="0" applyFont="1" applyBorder="1"/>
    <xf numFmtId="0" fontId="75" fillId="0" borderId="33" xfId="0" applyFont="1" applyBorder="1"/>
    <xf numFmtId="0" fontId="75" fillId="0" borderId="36" xfId="0" applyFont="1" applyBorder="1"/>
    <xf numFmtId="0" fontId="75" fillId="0" borderId="38" xfId="0" applyFont="1" applyBorder="1"/>
    <xf numFmtId="0" fontId="75" fillId="0" borderId="39" xfId="0" applyFont="1" applyBorder="1"/>
    <xf numFmtId="0" fontId="70" fillId="25" borderId="34" xfId="0" applyFont="1" applyFill="1" applyBorder="1" applyAlignment="1">
      <alignment horizontal="center"/>
    </xf>
    <xf numFmtId="43" fontId="70" fillId="25" borderId="34" xfId="4" applyFont="1" applyFill="1" applyBorder="1" applyAlignment="1">
      <alignment horizontal="center"/>
    </xf>
    <xf numFmtId="43" fontId="70" fillId="25" borderId="70" xfId="4" applyFont="1" applyFill="1" applyBorder="1" applyAlignment="1">
      <alignment horizontal="center"/>
    </xf>
    <xf numFmtId="172" fontId="85" fillId="31" borderId="34" xfId="0" applyNumberFormat="1" applyFont="1" applyFill="1" applyBorder="1" applyAlignment="1">
      <alignment horizontal="center" vertical="center" wrapText="1"/>
    </xf>
    <xf numFmtId="172" fontId="85" fillId="31" borderId="23" xfId="4" applyNumberFormat="1" applyFont="1" applyFill="1" applyBorder="1" applyAlignment="1">
      <alignment horizontal="center" vertical="center" wrapText="1"/>
    </xf>
    <xf numFmtId="172" fontId="85" fillId="31" borderId="23" xfId="0" applyNumberFormat="1" applyFont="1" applyFill="1" applyBorder="1" applyAlignment="1">
      <alignment horizontal="center" vertical="center" wrapText="1"/>
    </xf>
    <xf numFmtId="172" fontId="85" fillId="31" borderId="24" xfId="4" applyNumberFormat="1" applyFont="1" applyFill="1" applyBorder="1" applyAlignment="1">
      <alignment horizontal="center" vertical="center" wrapText="1"/>
    </xf>
    <xf numFmtId="172" fontId="84" fillId="0" borderId="0" xfId="0" applyNumberFormat="1" applyFont="1" applyAlignment="1">
      <alignment horizontal="center" vertical="center" wrapText="1"/>
    </xf>
    <xf numFmtId="43" fontId="44" fillId="21" borderId="34" xfId="4" applyFont="1" applyFill="1" applyBorder="1" applyAlignment="1">
      <alignment vertical="center"/>
    </xf>
    <xf numFmtId="0" fontId="45" fillId="0" borderId="0" xfId="0" applyFont="1"/>
    <xf numFmtId="43" fontId="45" fillId="21" borderId="34" xfId="4" applyFont="1" applyFill="1" applyBorder="1" applyAlignment="1">
      <alignment vertical="center"/>
    </xf>
    <xf numFmtId="0" fontId="90" fillId="0" borderId="0" xfId="0" applyFont="1"/>
    <xf numFmtId="0" fontId="45" fillId="0" borderId="50" xfId="0" applyFont="1" applyBorder="1" applyAlignment="1">
      <alignment vertical="top"/>
    </xf>
    <xf numFmtId="0" fontId="42" fillId="0" borderId="50" xfId="0" applyFont="1" applyBorder="1" applyAlignment="1">
      <alignment horizontal="left" vertical="top"/>
    </xf>
    <xf numFmtId="0" fontId="46" fillId="0" borderId="50" xfId="0" applyFont="1" applyBorder="1" applyAlignment="1">
      <alignment vertical="top"/>
    </xf>
    <xf numFmtId="0" fontId="45" fillId="0" borderId="52" xfId="0" applyFont="1" applyBorder="1"/>
    <xf numFmtId="0" fontId="91" fillId="24" borderId="25" xfId="0" applyFont="1" applyFill="1" applyBorder="1" applyAlignment="1">
      <alignment horizontal="center" vertical="center"/>
    </xf>
    <xf numFmtId="0" fontId="92" fillId="25" borderId="34" xfId="0" applyFont="1" applyFill="1" applyBorder="1" applyAlignment="1">
      <alignment vertical="center"/>
    </xf>
    <xf numFmtId="43" fontId="45" fillId="29" borderId="34" xfId="4" applyFont="1" applyFill="1" applyBorder="1" applyAlignment="1">
      <alignment vertical="center"/>
    </xf>
    <xf numFmtId="172" fontId="92" fillId="31" borderId="34" xfId="0" applyNumberFormat="1" applyFont="1" applyFill="1" applyBorder="1" applyAlignment="1">
      <alignment horizontal="center" vertical="center" wrapText="1"/>
    </xf>
    <xf numFmtId="172" fontId="92" fillId="31" borderId="23" xfId="4" applyNumberFormat="1" applyFont="1" applyFill="1" applyBorder="1" applyAlignment="1">
      <alignment horizontal="center" vertical="center" wrapText="1"/>
    </xf>
    <xf numFmtId="0" fontId="53" fillId="0" borderId="0" xfId="0" quotePrefix="1" applyFont="1"/>
    <xf numFmtId="0" fontId="71" fillId="21" borderId="34" xfId="0" applyFont="1" applyFill="1" applyBorder="1" applyAlignment="1">
      <alignment vertical="center"/>
    </xf>
    <xf numFmtId="170" fontId="71" fillId="21" borderId="34" xfId="4" applyNumberFormat="1" applyFont="1" applyFill="1" applyBorder="1" applyAlignment="1">
      <alignment vertical="center"/>
    </xf>
    <xf numFmtId="0" fontId="70" fillId="25" borderId="34" xfId="0" applyFont="1" applyFill="1" applyBorder="1" applyAlignment="1">
      <alignment horizontal="center" vertical="center"/>
    </xf>
    <xf numFmtId="172" fontId="70" fillId="25" borderId="34" xfId="4" applyNumberFormat="1" applyFont="1" applyFill="1" applyBorder="1" applyAlignment="1">
      <alignment horizontal="center" vertical="center"/>
    </xf>
    <xf numFmtId="0" fontId="82" fillId="21" borderId="34" xfId="0" applyFont="1" applyFill="1" applyBorder="1" applyAlignment="1">
      <alignment vertical="center"/>
    </xf>
    <xf numFmtId="43" fontId="82" fillId="29" borderId="34" xfId="4" applyFont="1" applyFill="1" applyBorder="1" applyAlignment="1">
      <alignment vertical="center"/>
    </xf>
    <xf numFmtId="170" fontId="82" fillId="21" borderId="34" xfId="4" applyNumberFormat="1" applyFont="1" applyFill="1" applyBorder="1" applyAlignment="1">
      <alignment vertical="center"/>
    </xf>
    <xf numFmtId="0" fontId="93" fillId="0" borderId="77" xfId="0" applyFont="1" applyBorder="1" applyAlignment="1">
      <alignment horizontal="center"/>
    </xf>
    <xf numFmtId="0" fontId="93" fillId="0" borderId="34" xfId="0" applyFont="1" applyBorder="1" applyAlignment="1">
      <alignment horizontal="center"/>
    </xf>
    <xf numFmtId="0" fontId="72" fillId="30" borderId="23" xfId="0" applyFont="1" applyFill="1" applyBorder="1" applyAlignment="1">
      <alignment horizontal="center"/>
    </xf>
    <xf numFmtId="43" fontId="72" fillId="30" borderId="24" xfId="4" applyFont="1" applyFill="1" applyBorder="1" applyAlignment="1">
      <alignment horizontal="center"/>
    </xf>
    <xf numFmtId="0" fontId="74" fillId="0" borderId="0" xfId="0" applyFont="1" applyAlignment="1">
      <alignment horizontal="center"/>
    </xf>
    <xf numFmtId="0" fontId="93" fillId="0" borderId="0" xfId="0" applyFont="1" applyAlignment="1">
      <alignment horizontal="center"/>
    </xf>
    <xf numFmtId="170" fontId="93" fillId="0" borderId="0" xfId="4" applyNumberFormat="1" applyFont="1" applyAlignment="1">
      <alignment horizontal="center"/>
    </xf>
    <xf numFmtId="0" fontId="74" fillId="0" borderId="0" xfId="0" applyFont="1"/>
    <xf numFmtId="0" fontId="93" fillId="21" borderId="34" xfId="0" applyFont="1" applyFill="1" applyBorder="1" applyAlignment="1">
      <alignment horizontal="left" vertical="center"/>
    </xf>
    <xf numFmtId="0" fontId="93" fillId="21" borderId="76" xfId="0" applyFont="1" applyFill="1" applyBorder="1" applyAlignment="1">
      <alignment horizontal="left" vertical="center"/>
    </xf>
    <xf numFmtId="0" fontId="74" fillId="0" borderId="29" xfId="0" applyFont="1" applyBorder="1"/>
    <xf numFmtId="0" fontId="74" fillId="0" borderId="24" xfId="0" applyFont="1" applyBorder="1"/>
    <xf numFmtId="0" fontId="73" fillId="25" borderId="24" xfId="0" applyFont="1" applyFill="1" applyBorder="1" applyAlignment="1">
      <alignment horizontal="left"/>
    </xf>
    <xf numFmtId="0" fontId="95" fillId="0" borderId="24" xfId="0" applyFont="1" applyBorder="1" applyAlignment="1">
      <alignment vertical="center"/>
    </xf>
    <xf numFmtId="43" fontId="93" fillId="21" borderId="24" xfId="4" applyFont="1" applyFill="1" applyBorder="1" applyAlignment="1">
      <alignment horizontal="left"/>
    </xf>
    <xf numFmtId="0" fontId="74" fillId="0" borderId="24" xfId="0" applyFont="1" applyBorder="1" applyAlignment="1">
      <alignment vertical="center" wrapText="1"/>
    </xf>
    <xf numFmtId="0" fontId="93" fillId="0" borderId="24" xfId="0" applyFont="1" applyBorder="1"/>
    <xf numFmtId="0" fontId="96" fillId="0" borderId="24" xfId="0" applyFont="1" applyBorder="1"/>
    <xf numFmtId="0" fontId="73" fillId="25" borderId="47" xfId="0" applyFont="1" applyFill="1" applyBorder="1" applyAlignment="1">
      <alignment horizontal="left"/>
    </xf>
    <xf numFmtId="0" fontId="96" fillId="0" borderId="40" xfId="0" applyFont="1" applyBorder="1"/>
    <xf numFmtId="0" fontId="74" fillId="0" borderId="34" xfId="0" applyFont="1" applyBorder="1"/>
    <xf numFmtId="0" fontId="96" fillId="0" borderId="34" xfId="0" applyFont="1" applyBorder="1"/>
    <xf numFmtId="43" fontId="93" fillId="21" borderId="36" xfId="4" applyFont="1" applyFill="1" applyBorder="1" applyAlignment="1">
      <alignment horizontal="left"/>
    </xf>
    <xf numFmtId="0" fontId="73" fillId="31" borderId="58" xfId="0" applyFont="1" applyFill="1" applyBorder="1"/>
    <xf numFmtId="0" fontId="74" fillId="0" borderId="39" xfId="0" applyFont="1" applyBorder="1"/>
    <xf numFmtId="3" fontId="74" fillId="21" borderId="23" xfId="0" applyNumberFormat="1" applyFont="1" applyFill="1" applyBorder="1" applyAlignment="1">
      <alignment vertical="center"/>
    </xf>
    <xf numFmtId="43" fontId="74" fillId="21" borderId="24" xfId="4" applyFont="1" applyFill="1" applyBorder="1" applyAlignment="1">
      <alignment horizontal="right"/>
    </xf>
    <xf numFmtId="3" fontId="74" fillId="21" borderId="34" xfId="0" applyNumberFormat="1" applyFont="1" applyFill="1" applyBorder="1" applyAlignment="1">
      <alignment vertical="center"/>
    </xf>
    <xf numFmtId="0" fontId="74" fillId="21" borderId="23" xfId="0" applyFont="1" applyFill="1" applyBorder="1"/>
    <xf numFmtId="3" fontId="74" fillId="21" borderId="23" xfId="0" applyNumberFormat="1" applyFont="1" applyFill="1" applyBorder="1"/>
    <xf numFmtId="0" fontId="74" fillId="21" borderId="34" xfId="0" applyFont="1" applyFill="1" applyBorder="1"/>
    <xf numFmtId="3" fontId="74" fillId="21" borderId="23" xfId="0" applyNumberFormat="1" applyFont="1" applyFill="1" applyBorder="1" applyAlignment="1">
      <alignment horizontal="right" vertical="center"/>
    </xf>
    <xf numFmtId="3" fontId="74" fillId="21" borderId="34" xfId="0" applyNumberFormat="1" applyFont="1" applyFill="1" applyBorder="1" applyAlignment="1">
      <alignment horizontal="right" vertical="center"/>
    </xf>
    <xf numFmtId="0" fontId="73" fillId="25" borderId="23" xfId="0" applyFont="1" applyFill="1" applyBorder="1"/>
    <xf numFmtId="43" fontId="73" fillId="25" borderId="24" xfId="4" applyFont="1" applyFill="1" applyBorder="1" applyAlignment="1">
      <alignment horizontal="center"/>
    </xf>
    <xf numFmtId="0" fontId="73" fillId="25" borderId="61" xfId="0" applyFont="1" applyFill="1" applyBorder="1"/>
    <xf numFmtId="0" fontId="73" fillId="25" borderId="62" xfId="0" applyFont="1" applyFill="1" applyBorder="1"/>
    <xf numFmtId="43" fontId="73" fillId="25" borderId="63" xfId="4" applyFont="1" applyFill="1" applyBorder="1" applyAlignment="1">
      <alignment horizontal="center"/>
    </xf>
    <xf numFmtId="0" fontId="74" fillId="21" borderId="23" xfId="0" applyFont="1" applyFill="1" applyBorder="1" applyAlignment="1">
      <alignment horizontal="right"/>
    </xf>
    <xf numFmtId="0" fontId="74" fillId="21" borderId="34" xfId="0" applyFont="1" applyFill="1" applyBorder="1" applyAlignment="1">
      <alignment horizontal="right"/>
    </xf>
    <xf numFmtId="43" fontId="73" fillId="25" borderId="24" xfId="4" applyFont="1" applyFill="1" applyBorder="1" applyAlignment="1">
      <alignment horizontal="right"/>
    </xf>
    <xf numFmtId="0" fontId="73" fillId="25" borderId="34" xfId="0" applyFont="1" applyFill="1" applyBorder="1"/>
    <xf numFmtId="1" fontId="74" fillId="21" borderId="23" xfId="0" applyNumberFormat="1" applyFont="1" applyFill="1" applyBorder="1"/>
    <xf numFmtId="1" fontId="74" fillId="21" borderId="34" xfId="0" applyNumberFormat="1" applyFont="1" applyFill="1" applyBorder="1"/>
    <xf numFmtId="1" fontId="74" fillId="0" borderId="23" xfId="0" applyNumberFormat="1" applyFont="1" applyBorder="1"/>
    <xf numFmtId="0" fontId="74" fillId="0" borderId="23" xfId="0" applyFont="1" applyBorder="1"/>
    <xf numFmtId="43" fontId="74" fillId="0" borderId="24" xfId="4" applyFont="1" applyBorder="1" applyAlignment="1">
      <alignment horizontal="right"/>
    </xf>
    <xf numFmtId="43" fontId="74" fillId="0" borderId="23" xfId="0" applyNumberFormat="1" applyFont="1" applyBorder="1"/>
    <xf numFmtId="170" fontId="74" fillId="0" borderId="24" xfId="4" applyNumberFormat="1" applyFont="1" applyBorder="1"/>
    <xf numFmtId="43" fontId="74" fillId="0" borderId="34" xfId="0" applyNumberFormat="1" applyFont="1" applyBorder="1"/>
    <xf numFmtId="170" fontId="74" fillId="0" borderId="24" xfId="0" applyNumberFormat="1" applyFont="1" applyBorder="1"/>
    <xf numFmtId="43" fontId="73" fillId="25" borderId="24" xfId="4" applyFont="1" applyFill="1" applyBorder="1" applyAlignment="1"/>
    <xf numFmtId="0" fontId="74" fillId="21" borderId="42" xfId="0" applyFont="1" applyFill="1" applyBorder="1"/>
    <xf numFmtId="43" fontId="74" fillId="21" borderId="47" xfId="4" applyFont="1" applyFill="1" applyBorder="1" applyAlignment="1">
      <alignment horizontal="right"/>
    </xf>
    <xf numFmtId="0" fontId="73" fillId="31" borderId="26" xfId="0" applyFont="1" applyFill="1" applyBorder="1"/>
    <xf numFmtId="43" fontId="73" fillId="31" borderId="27" xfId="4" applyFont="1" applyFill="1" applyBorder="1" applyAlignment="1">
      <alignment horizontal="right"/>
    </xf>
    <xf numFmtId="0" fontId="73" fillId="31" borderId="34" xfId="0" applyFont="1" applyFill="1" applyBorder="1"/>
    <xf numFmtId="0" fontId="73" fillId="31" borderId="23" xfId="0" applyFont="1" applyFill="1" applyBorder="1"/>
    <xf numFmtId="43" fontId="73" fillId="31" borderId="24" xfId="4" applyFont="1" applyFill="1" applyBorder="1" applyAlignment="1">
      <alignment horizontal="right"/>
    </xf>
    <xf numFmtId="0" fontId="74" fillId="0" borderId="30" xfId="0" applyFont="1" applyBorder="1"/>
    <xf numFmtId="43" fontId="74" fillId="0" borderId="31" xfId="4" applyFont="1" applyBorder="1" applyAlignment="1">
      <alignment horizontal="right"/>
    </xf>
    <xf numFmtId="0" fontId="74" fillId="0" borderId="36" xfId="0" applyFont="1" applyBorder="1"/>
    <xf numFmtId="0" fontId="74" fillId="0" borderId="38" xfId="0" applyFont="1" applyBorder="1"/>
    <xf numFmtId="0" fontId="45" fillId="0" borderId="51" xfId="0" applyFont="1" applyBorder="1"/>
    <xf numFmtId="0" fontId="44" fillId="0" borderId="52" xfId="0" applyFont="1" applyBorder="1" applyAlignment="1">
      <alignment horizontal="right"/>
    </xf>
    <xf numFmtId="43" fontId="44" fillId="21" borderId="70" xfId="4" applyFont="1" applyFill="1" applyBorder="1" applyAlignment="1">
      <alignment vertical="center"/>
    </xf>
    <xf numFmtId="172" fontId="92" fillId="31" borderId="24" xfId="4" applyNumberFormat="1" applyFont="1" applyFill="1" applyBorder="1" applyAlignment="1">
      <alignment horizontal="center" vertical="center" wrapText="1"/>
    </xf>
    <xf numFmtId="172" fontId="92" fillId="31" borderId="70" xfId="0" applyNumberFormat="1" applyFont="1" applyFill="1" applyBorder="1" applyAlignment="1">
      <alignment horizontal="center" vertical="center" wrapText="1"/>
    </xf>
    <xf numFmtId="43" fontId="45" fillId="21" borderId="36" xfId="4" applyFont="1" applyFill="1" applyBorder="1" applyAlignment="1">
      <alignment vertical="center"/>
    </xf>
    <xf numFmtId="43" fontId="44" fillId="21" borderId="36" xfId="4" applyFont="1" applyFill="1" applyBorder="1" applyAlignment="1">
      <alignment vertical="center"/>
    </xf>
    <xf numFmtId="43" fontId="44" fillId="21" borderId="71" xfId="4" applyFont="1" applyFill="1" applyBorder="1" applyAlignment="1">
      <alignment vertical="center"/>
    </xf>
    <xf numFmtId="0" fontId="0" fillId="0" borderId="51" xfId="0" applyBorder="1"/>
    <xf numFmtId="0" fontId="0" fillId="0" borderId="52" xfId="0" applyBorder="1"/>
    <xf numFmtId="0" fontId="71" fillId="21" borderId="70" xfId="0" applyFont="1" applyFill="1" applyBorder="1" applyAlignment="1">
      <alignment horizontal="center" vertical="center"/>
    </xf>
    <xf numFmtId="170" fontId="71" fillId="21" borderId="70" xfId="4" applyNumberFormat="1" applyFont="1" applyFill="1" applyBorder="1" applyAlignment="1">
      <alignment vertical="center"/>
    </xf>
    <xf numFmtId="172" fontId="70" fillId="25" borderId="70" xfId="4" applyNumberFormat="1" applyFont="1" applyFill="1" applyBorder="1" applyAlignment="1">
      <alignment horizontal="center" vertical="center"/>
    </xf>
    <xf numFmtId="170" fontId="82" fillId="21" borderId="70" xfId="4" applyNumberFormat="1" applyFont="1" applyFill="1" applyBorder="1" applyAlignment="1">
      <alignment vertical="center"/>
    </xf>
    <xf numFmtId="172" fontId="85" fillId="31" borderId="36" xfId="0" applyNumberFormat="1" applyFont="1" applyFill="1" applyBorder="1" applyAlignment="1">
      <alignment horizontal="center" vertical="center" wrapText="1"/>
    </xf>
    <xf numFmtId="172" fontId="85" fillId="31" borderId="38" xfId="4" applyNumberFormat="1" applyFont="1" applyFill="1" applyBorder="1" applyAlignment="1">
      <alignment horizontal="center" vertical="center" wrapText="1"/>
    </xf>
    <xf numFmtId="172" fontId="85" fillId="31" borderId="39" xfId="4" applyNumberFormat="1" applyFont="1" applyFill="1" applyBorder="1" applyAlignment="1">
      <alignment horizontal="center" vertical="center" wrapText="1"/>
    </xf>
    <xf numFmtId="9" fontId="71" fillId="21" borderId="34" xfId="1" applyFont="1" applyFill="1" applyBorder="1" applyAlignment="1">
      <alignment horizontal="center" vertical="center"/>
    </xf>
    <xf numFmtId="10" fontId="71" fillId="21" borderId="34" xfId="1" applyNumberFormat="1" applyFont="1" applyFill="1" applyBorder="1" applyAlignment="1">
      <alignment horizontal="center" vertical="center"/>
    </xf>
    <xf numFmtId="2" fontId="71" fillId="21" borderId="34" xfId="0" applyNumberFormat="1" applyFont="1" applyFill="1" applyBorder="1" applyAlignment="1">
      <alignment horizontal="center" vertical="center"/>
    </xf>
    <xf numFmtId="165" fontId="71" fillId="21" borderId="34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53" fillId="21" borderId="34" xfId="0" applyFont="1" applyFill="1" applyBorder="1" applyAlignment="1">
      <alignment horizontal="left" vertical="top"/>
    </xf>
    <xf numFmtId="0" fontId="68" fillId="0" borderId="22" xfId="6" applyFont="1" applyBorder="1" applyAlignment="1">
      <alignment vertical="center"/>
    </xf>
    <xf numFmtId="0" fontId="97" fillId="0" borderId="0" xfId="0" applyFont="1" applyAlignment="1">
      <alignment horizontal="right" vertical="center"/>
    </xf>
    <xf numFmtId="0" fontId="53" fillId="0" borderId="0" xfId="0" applyFont="1" applyAlignment="1">
      <alignment vertical="center"/>
    </xf>
    <xf numFmtId="169" fontId="53" fillId="0" borderId="11" xfId="4" applyNumberFormat="1" applyFont="1" applyBorder="1" applyAlignment="1"/>
    <xf numFmtId="169" fontId="53" fillId="0" borderId="0" xfId="0" applyNumberFormat="1" applyFont="1" applyAlignment="1">
      <alignment vertical="center"/>
    </xf>
    <xf numFmtId="43" fontId="54" fillId="29" borderId="34" xfId="4" applyFont="1" applyFill="1" applyBorder="1" applyAlignment="1">
      <alignment vertical="center"/>
    </xf>
    <xf numFmtId="0" fontId="76" fillId="25" borderId="34" xfId="0" applyFont="1" applyFill="1" applyBorder="1" applyAlignment="1">
      <alignment horizontal="left" vertical="center"/>
    </xf>
    <xf numFmtId="169" fontId="53" fillId="0" borderId="0" xfId="0" applyNumberFormat="1" applyFont="1" applyAlignment="1">
      <alignment horizontal="right"/>
    </xf>
    <xf numFmtId="43" fontId="54" fillId="29" borderId="34" xfId="4" applyFont="1" applyFill="1" applyBorder="1" applyAlignment="1">
      <alignment horizontal="right" vertical="center"/>
    </xf>
    <xf numFmtId="0" fontId="53" fillId="21" borderId="34" xfId="0" applyFont="1" applyFill="1" applyBorder="1" applyAlignment="1">
      <alignment horizontal="right" vertical="top"/>
    </xf>
    <xf numFmtId="0" fontId="54" fillId="21" borderId="34" xfId="0" applyFont="1" applyFill="1" applyBorder="1" applyAlignment="1">
      <alignment horizontal="left" vertical="top"/>
    </xf>
    <xf numFmtId="172" fontId="76" fillId="31" borderId="0" xfId="0" applyNumberFormat="1" applyFont="1" applyFill="1" applyAlignment="1">
      <alignment vertical="center" wrapText="1"/>
    </xf>
    <xf numFmtId="43" fontId="53" fillId="21" borderId="34" xfId="4" applyFont="1" applyFill="1" applyBorder="1" applyAlignment="1">
      <alignment horizontal="right" vertical="top"/>
    </xf>
    <xf numFmtId="171" fontId="53" fillId="21" borderId="34" xfId="4" applyNumberFormat="1" applyFont="1" applyFill="1" applyBorder="1" applyAlignment="1">
      <alignment horizontal="right" vertical="top"/>
    </xf>
    <xf numFmtId="170" fontId="53" fillId="21" borderId="34" xfId="4" applyNumberFormat="1" applyFont="1" applyFill="1" applyBorder="1" applyAlignment="1">
      <alignment horizontal="right" vertical="top"/>
    </xf>
    <xf numFmtId="43" fontId="54" fillId="29" borderId="34" xfId="4" applyFont="1" applyFill="1" applyBorder="1" applyAlignment="1">
      <alignment horizontal="center" vertical="center"/>
    </xf>
    <xf numFmtId="169" fontId="76" fillId="25" borderId="34" xfId="4" applyNumberFormat="1" applyFont="1" applyFill="1" applyBorder="1" applyAlignment="1">
      <alignment horizontal="right" vertical="center"/>
    </xf>
    <xf numFmtId="169" fontId="76" fillId="25" borderId="43" xfId="4" applyNumberFormat="1" applyFont="1" applyFill="1" applyBorder="1" applyAlignment="1">
      <alignment vertical="center"/>
    </xf>
    <xf numFmtId="0" fontId="83" fillId="24" borderId="73" xfId="0" applyFont="1" applyFill="1" applyBorder="1" applyAlignment="1">
      <alignment horizontal="center" vertical="center"/>
    </xf>
    <xf numFmtId="172" fontId="76" fillId="31" borderId="82" xfId="0" applyNumberFormat="1" applyFont="1" applyFill="1" applyBorder="1" applyAlignment="1">
      <alignment vertical="center" wrapText="1"/>
    </xf>
    <xf numFmtId="172" fontId="76" fillId="31" borderId="83" xfId="0" applyNumberFormat="1" applyFont="1" applyFill="1" applyBorder="1" applyAlignment="1">
      <alignment vertical="center" wrapText="1"/>
    </xf>
    <xf numFmtId="172" fontId="76" fillId="31" borderId="83" xfId="0" applyNumberFormat="1" applyFont="1" applyFill="1" applyBorder="1" applyAlignment="1">
      <alignment horizontal="center" vertical="center" wrapText="1"/>
    </xf>
    <xf numFmtId="170" fontId="54" fillId="21" borderId="34" xfId="4" applyNumberFormat="1" applyFont="1" applyFill="1" applyBorder="1" applyAlignment="1">
      <alignment horizontal="right" vertical="top"/>
    </xf>
    <xf numFmtId="0" fontId="0" fillId="0" borderId="51" xfId="0" applyBorder="1" applyAlignment="1">
      <alignment horizontal="left"/>
    </xf>
    <xf numFmtId="170" fontId="0" fillId="0" borderId="0" xfId="4" applyNumberFormat="1" applyFont="1" applyBorder="1"/>
    <xf numFmtId="170" fontId="0" fillId="0" borderId="52" xfId="4" applyNumberFormat="1" applyFont="1" applyBorder="1"/>
    <xf numFmtId="0" fontId="53" fillId="21" borderId="70" xfId="0" applyFont="1" applyFill="1" applyBorder="1" applyAlignment="1">
      <alignment horizontal="right" vertical="top"/>
    </xf>
    <xf numFmtId="170" fontId="53" fillId="21" borderId="70" xfId="4" applyNumberFormat="1" applyFont="1" applyFill="1" applyBorder="1" applyAlignment="1">
      <alignment horizontal="right" vertical="top"/>
    </xf>
    <xf numFmtId="170" fontId="54" fillId="21" borderId="70" xfId="4" applyNumberFormat="1" applyFont="1" applyFill="1" applyBorder="1" applyAlignment="1">
      <alignment horizontal="right" vertical="top"/>
    </xf>
    <xf numFmtId="0" fontId="53" fillId="21" borderId="36" xfId="0" applyFont="1" applyFill="1" applyBorder="1" applyAlignment="1">
      <alignment horizontal="left" vertical="top"/>
    </xf>
    <xf numFmtId="170" fontId="53" fillId="21" borderId="36" xfId="4" applyNumberFormat="1" applyFont="1" applyFill="1" applyBorder="1" applyAlignment="1">
      <alignment horizontal="right" vertical="top"/>
    </xf>
    <xf numFmtId="170" fontId="53" fillId="21" borderId="71" xfId="4" applyNumberFormat="1" applyFont="1" applyFill="1" applyBorder="1" applyAlignment="1">
      <alignment horizontal="right" vertical="top"/>
    </xf>
    <xf numFmtId="0" fontId="54" fillId="0" borderId="76" xfId="0" applyFont="1" applyBorder="1" applyAlignment="1">
      <alignment vertical="center"/>
    </xf>
    <xf numFmtId="0" fontId="54" fillId="0" borderId="74" xfId="0" applyFont="1" applyBorder="1" applyAlignment="1">
      <alignment vertical="center"/>
    </xf>
    <xf numFmtId="0" fontId="54" fillId="0" borderId="28" xfId="0" applyFont="1" applyBorder="1" applyAlignment="1">
      <alignment vertical="center"/>
    </xf>
    <xf numFmtId="0" fontId="53" fillId="0" borderId="28" xfId="0" applyFont="1" applyBorder="1" applyAlignment="1">
      <alignment horizontal="center"/>
    </xf>
    <xf numFmtId="0" fontId="0" fillId="32" borderId="0" xfId="0" applyFill="1"/>
    <xf numFmtId="0" fontId="2" fillId="32" borderId="0" xfId="0" applyFont="1" applyFill="1"/>
    <xf numFmtId="0" fontId="98" fillId="32" borderId="0" xfId="10" applyFill="1"/>
    <xf numFmtId="173" fontId="0" fillId="0" borderId="0" xfId="0" applyNumberFormat="1" applyAlignment="1">
      <alignment horizontal="center"/>
    </xf>
    <xf numFmtId="170" fontId="53" fillId="0" borderId="0" xfId="0" applyNumberFormat="1" applyFont="1"/>
    <xf numFmtId="174" fontId="0" fillId="0" borderId="0" xfId="0" applyNumberFormat="1"/>
    <xf numFmtId="0" fontId="99" fillId="2" borderId="0" xfId="0" applyFont="1" applyFill="1" applyAlignment="1">
      <alignment vertical="center"/>
    </xf>
    <xf numFmtId="0" fontId="101" fillId="2" borderId="0" xfId="0" applyFont="1" applyFill="1" applyAlignment="1">
      <alignment horizontal="left" vertical="center"/>
    </xf>
    <xf numFmtId="0" fontId="101" fillId="2" borderId="0" xfId="0" applyFont="1" applyFill="1" applyAlignment="1">
      <alignment vertical="center"/>
    </xf>
    <xf numFmtId="164" fontId="53" fillId="8" borderId="0" xfId="1" applyNumberFormat="1" applyFont="1" applyFill="1" applyAlignment="1">
      <alignment vertical="center"/>
    </xf>
    <xf numFmtId="164" fontId="53" fillId="4" borderId="0" xfId="1" applyNumberFormat="1" applyFont="1" applyFill="1" applyAlignment="1">
      <alignment vertical="center"/>
    </xf>
    <xf numFmtId="0" fontId="53" fillId="2" borderId="44" xfId="0" applyFont="1" applyFill="1" applyBorder="1" applyAlignment="1">
      <alignment vertical="center"/>
    </xf>
    <xf numFmtId="0" fontId="54" fillId="3" borderId="53" xfId="0" applyFont="1" applyFill="1" applyBorder="1" applyAlignment="1" applyProtection="1">
      <alignment horizontal="center" vertical="center"/>
      <protection locked="0"/>
    </xf>
    <xf numFmtId="0" fontId="99" fillId="2" borderId="0" xfId="0" applyFont="1" applyFill="1" applyAlignment="1">
      <alignment horizontal="center" vertical="center"/>
    </xf>
    <xf numFmtId="164" fontId="53" fillId="2" borderId="0" xfId="1" applyNumberFormat="1" applyFont="1" applyFill="1" applyAlignment="1">
      <alignment vertical="center"/>
    </xf>
    <xf numFmtId="0" fontId="54" fillId="2" borderId="0" xfId="0" applyFont="1" applyFill="1" applyAlignment="1">
      <alignment vertical="center"/>
    </xf>
    <xf numFmtId="0" fontId="53" fillId="3" borderId="0" xfId="0" applyFont="1" applyFill="1" applyAlignment="1">
      <alignment vertical="center"/>
    </xf>
    <xf numFmtId="0" fontId="102" fillId="2" borderId="0" xfId="0" applyFont="1" applyFill="1" applyAlignment="1">
      <alignment vertical="center"/>
    </xf>
    <xf numFmtId="0" fontId="103" fillId="2" borderId="3" xfId="0" applyFont="1" applyFill="1" applyBorder="1" applyAlignment="1">
      <alignment horizontal="center" vertical="center"/>
    </xf>
    <xf numFmtId="0" fontId="103" fillId="2" borderId="0" xfId="0" applyFont="1" applyFill="1" applyAlignment="1">
      <alignment vertical="center"/>
    </xf>
    <xf numFmtId="0" fontId="104" fillId="2" borderId="51" xfId="0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03" fillId="2" borderId="0" xfId="0" applyFont="1" applyFill="1" applyAlignment="1">
      <alignment horizontal="center" vertical="center"/>
    </xf>
    <xf numFmtId="0" fontId="104" fillId="2" borderId="52" xfId="0" applyFont="1" applyFill="1" applyBorder="1" applyAlignment="1">
      <alignment horizontal="center" vertical="center"/>
    </xf>
    <xf numFmtId="3" fontId="106" fillId="2" borderId="0" xfId="0" applyNumberFormat="1" applyFont="1" applyFill="1" applyAlignment="1">
      <alignment horizontal="center" vertical="center"/>
    </xf>
    <xf numFmtId="4" fontId="53" fillId="2" borderId="0" xfId="0" applyNumberFormat="1" applyFont="1" applyFill="1" applyAlignment="1">
      <alignment vertical="center"/>
    </xf>
    <xf numFmtId="9" fontId="101" fillId="2" borderId="0" xfId="0" applyNumberFormat="1" applyFont="1" applyFill="1" applyAlignment="1">
      <alignment horizontal="center" vertical="top"/>
    </xf>
    <xf numFmtId="0" fontId="53" fillId="3" borderId="51" xfId="0" applyFont="1" applyFill="1" applyBorder="1" applyAlignment="1">
      <alignment vertical="center"/>
    </xf>
    <xf numFmtId="0" fontId="53" fillId="3" borderId="52" xfId="0" applyFont="1" applyFill="1" applyBorder="1" applyAlignment="1">
      <alignment vertical="center"/>
    </xf>
    <xf numFmtId="0" fontId="107" fillId="2" borderId="0" xfId="0" applyFont="1" applyFill="1" applyAlignment="1">
      <alignment vertical="center"/>
    </xf>
    <xf numFmtId="0" fontId="107" fillId="2" borderId="51" xfId="0" applyFont="1" applyFill="1" applyBorder="1" applyAlignment="1">
      <alignment vertical="center"/>
    </xf>
    <xf numFmtId="0" fontId="107" fillId="2" borderId="52" xfId="0" applyFont="1" applyFill="1" applyBorder="1" applyAlignment="1">
      <alignment vertical="center"/>
    </xf>
    <xf numFmtId="0" fontId="81" fillId="2" borderId="0" xfId="0" applyFont="1" applyFill="1" applyAlignment="1">
      <alignment vertical="center"/>
    </xf>
    <xf numFmtId="0" fontId="104" fillId="2" borderId="0" xfId="0" applyFont="1" applyFill="1" applyAlignment="1">
      <alignment horizontal="center" vertical="center" wrapText="1"/>
    </xf>
    <xf numFmtId="3" fontId="106" fillId="2" borderId="0" xfId="1" applyNumberFormat="1" applyFont="1" applyFill="1" applyBorder="1" applyAlignment="1">
      <alignment horizontal="center" vertical="center"/>
    </xf>
    <xf numFmtId="0" fontId="102" fillId="2" borderId="0" xfId="0" applyFont="1" applyFill="1" applyAlignment="1">
      <alignment horizontal="center" vertical="top"/>
    </xf>
    <xf numFmtId="0" fontId="108" fillId="3" borderId="0" xfId="0" applyFont="1" applyFill="1" applyAlignment="1">
      <alignment vertical="center"/>
    </xf>
    <xf numFmtId="0" fontId="101" fillId="0" borderId="51" xfId="0" applyFont="1" applyBorder="1" applyAlignment="1">
      <alignment vertical="center"/>
    </xf>
    <xf numFmtId="0" fontId="101" fillId="0" borderId="0" xfId="0" applyFont="1" applyAlignment="1">
      <alignment vertical="center"/>
    </xf>
    <xf numFmtId="0" fontId="101" fillId="0" borderId="52" xfId="0" applyFont="1" applyBorder="1" applyAlignment="1">
      <alignment vertical="center"/>
    </xf>
    <xf numFmtId="0" fontId="101" fillId="3" borderId="56" xfId="0" applyFont="1" applyFill="1" applyBorder="1" applyAlignment="1">
      <alignment vertical="center"/>
    </xf>
    <xf numFmtId="0" fontId="101" fillId="3" borderId="46" xfId="0" applyFont="1" applyFill="1" applyBorder="1" applyAlignment="1">
      <alignment vertical="center"/>
    </xf>
    <xf numFmtId="0" fontId="101" fillId="2" borderId="46" xfId="0" applyFont="1" applyFill="1" applyBorder="1" applyAlignment="1">
      <alignment vertical="center"/>
    </xf>
    <xf numFmtId="0" fontId="101" fillId="3" borderId="57" xfId="0" applyFont="1" applyFill="1" applyBorder="1" applyAlignment="1">
      <alignment vertical="center"/>
    </xf>
    <xf numFmtId="164" fontId="101" fillId="2" borderId="0" xfId="1" applyNumberFormat="1" applyFont="1" applyFill="1" applyAlignment="1">
      <alignment vertical="center"/>
    </xf>
    <xf numFmtId="164" fontId="53" fillId="2" borderId="0" xfId="0" applyNumberFormat="1" applyFont="1" applyFill="1" applyAlignment="1">
      <alignment vertical="center"/>
    </xf>
    <xf numFmtId="164" fontId="75" fillId="2" borderId="0" xfId="1" applyNumberFormat="1" applyFont="1" applyFill="1" applyAlignment="1">
      <alignment horizontal="center" vertical="center"/>
    </xf>
    <xf numFmtId="165" fontId="75" fillId="2" borderId="0" xfId="1" applyNumberFormat="1" applyFont="1" applyFill="1" applyAlignment="1">
      <alignment horizontal="center" vertical="center"/>
    </xf>
    <xf numFmtId="9" fontId="53" fillId="2" borderId="0" xfId="1" applyFont="1" applyFill="1" applyAlignment="1">
      <alignment vertical="center"/>
    </xf>
    <xf numFmtId="0" fontId="75" fillId="2" borderId="0" xfId="0" applyFont="1" applyFill="1" applyAlignment="1">
      <alignment vertical="center"/>
    </xf>
    <xf numFmtId="0" fontId="53" fillId="3" borderId="54" xfId="0" applyFont="1" applyFill="1" applyBorder="1" applyAlignment="1">
      <alignment vertical="center"/>
    </xf>
    <xf numFmtId="0" fontId="53" fillId="3" borderId="44" xfId="0" applyFont="1" applyFill="1" applyBorder="1" applyAlignment="1">
      <alignment vertical="center"/>
    </xf>
    <xf numFmtId="0" fontId="53" fillId="3" borderId="55" xfId="0" applyFont="1" applyFill="1" applyBorder="1" applyAlignment="1">
      <alignment vertical="center"/>
    </xf>
    <xf numFmtId="0" fontId="53" fillId="3" borderId="56" xfId="0" applyFont="1" applyFill="1" applyBorder="1" applyAlignment="1">
      <alignment vertical="center"/>
    </xf>
    <xf numFmtId="0" fontId="53" fillId="3" borderId="46" xfId="0" applyFont="1" applyFill="1" applyBorder="1" applyAlignment="1">
      <alignment vertical="center"/>
    </xf>
    <xf numFmtId="0" fontId="53" fillId="3" borderId="57" xfId="0" applyFont="1" applyFill="1" applyBorder="1" applyAlignment="1">
      <alignment vertical="center"/>
    </xf>
    <xf numFmtId="0" fontId="104" fillId="2" borderId="54" xfId="0" applyFont="1" applyFill="1" applyBorder="1" applyAlignment="1">
      <alignment horizontal="center" vertical="center"/>
    </xf>
    <xf numFmtId="0" fontId="104" fillId="2" borderId="44" xfId="0" applyFont="1" applyFill="1" applyBorder="1" applyAlignment="1">
      <alignment horizontal="center" vertical="center"/>
    </xf>
    <xf numFmtId="0" fontId="104" fillId="2" borderId="55" xfId="0" applyFont="1" applyFill="1" applyBorder="1" applyAlignment="1">
      <alignment horizontal="center" vertical="center"/>
    </xf>
    <xf numFmtId="0" fontId="0" fillId="0" borderId="54" xfId="0" applyBorder="1"/>
    <xf numFmtId="0" fontId="0" fillId="0" borderId="44" xfId="0" applyBorder="1"/>
    <xf numFmtId="0" fontId="0" fillId="0" borderId="55" xfId="0" applyBorder="1"/>
    <xf numFmtId="0" fontId="0" fillId="0" borderId="56" xfId="0" applyBorder="1"/>
    <xf numFmtId="0" fontId="0" fillId="0" borderId="46" xfId="0" applyBorder="1"/>
    <xf numFmtId="0" fontId="0" fillId="0" borderId="57" xfId="0" applyBorder="1"/>
    <xf numFmtId="10" fontId="0" fillId="0" borderId="0" xfId="1" applyNumberFormat="1" applyFont="1" applyAlignment="1">
      <alignment vertical="center"/>
    </xf>
    <xf numFmtId="0" fontId="10" fillId="33" borderId="0" xfId="0" applyFont="1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0" fillId="17" borderId="2" xfId="3" applyFont="1" applyFill="1" applyBorder="1" applyAlignment="1">
      <alignment horizontal="left" vertical="center"/>
    </xf>
    <xf numFmtId="0" fontId="20" fillId="17" borderId="1" xfId="3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99" fillId="2" borderId="7" xfId="0" applyFont="1" applyFill="1" applyBorder="1" applyAlignment="1">
      <alignment horizontal="center" vertical="center"/>
    </xf>
    <xf numFmtId="0" fontId="99" fillId="2" borderId="0" xfId="0" applyFont="1" applyFill="1" applyAlignment="1">
      <alignment horizontal="center" vertical="center"/>
    </xf>
    <xf numFmtId="10" fontId="102" fillId="0" borderId="51" xfId="1" applyNumberFormat="1" applyFont="1" applyBorder="1" applyAlignment="1">
      <alignment horizontal="center" vertical="top"/>
    </xf>
    <xf numFmtId="10" fontId="102" fillId="0" borderId="0" xfId="1" applyNumberFormat="1" applyFont="1" applyBorder="1" applyAlignment="1">
      <alignment horizontal="center" vertical="top"/>
    </xf>
    <xf numFmtId="10" fontId="102" fillId="0" borderId="52" xfId="1" applyNumberFormat="1" applyFont="1" applyBorder="1" applyAlignment="1">
      <alignment horizontal="center" vertical="top"/>
    </xf>
    <xf numFmtId="9" fontId="101" fillId="0" borderId="51" xfId="0" applyNumberFormat="1" applyFont="1" applyBorder="1" applyAlignment="1">
      <alignment horizontal="center" vertical="top"/>
    </xf>
    <xf numFmtId="9" fontId="101" fillId="0" borderId="0" xfId="0" applyNumberFormat="1" applyFont="1" applyAlignment="1">
      <alignment horizontal="center" vertical="top"/>
    </xf>
    <xf numFmtId="9" fontId="101" fillId="0" borderId="52" xfId="0" applyNumberFormat="1" applyFont="1" applyBorder="1" applyAlignment="1">
      <alignment horizontal="center" vertical="top"/>
    </xf>
    <xf numFmtId="0" fontId="109" fillId="3" borderId="58" xfId="0" applyFont="1" applyFill="1" applyBorder="1" applyAlignment="1">
      <alignment horizontal="center" vertical="center"/>
    </xf>
    <xf numFmtId="0" fontId="109" fillId="3" borderId="59" xfId="0" applyFont="1" applyFill="1" applyBorder="1" applyAlignment="1">
      <alignment horizontal="center" vertical="center"/>
    </xf>
    <xf numFmtId="0" fontId="109" fillId="3" borderId="60" xfId="0" applyFont="1" applyFill="1" applyBorder="1" applyAlignment="1">
      <alignment horizontal="center" vertical="center"/>
    </xf>
    <xf numFmtId="0" fontId="109" fillId="3" borderId="56" xfId="0" applyFont="1" applyFill="1" applyBorder="1" applyAlignment="1">
      <alignment horizontal="center" vertical="center"/>
    </xf>
    <xf numFmtId="0" fontId="109" fillId="3" borderId="46" xfId="0" applyFont="1" applyFill="1" applyBorder="1" applyAlignment="1">
      <alignment horizontal="center" vertical="center"/>
    </xf>
    <xf numFmtId="0" fontId="109" fillId="3" borderId="57" xfId="0" applyFont="1" applyFill="1" applyBorder="1" applyAlignment="1">
      <alignment horizontal="center" vertical="center"/>
    </xf>
    <xf numFmtId="9" fontId="102" fillId="0" borderId="51" xfId="0" applyNumberFormat="1" applyFont="1" applyBorder="1" applyAlignment="1">
      <alignment horizontal="center" vertical="top"/>
    </xf>
    <xf numFmtId="0" fontId="102" fillId="0" borderId="0" xfId="0" applyFont="1" applyAlignment="1">
      <alignment horizontal="center" vertical="top"/>
    </xf>
    <xf numFmtId="0" fontId="102" fillId="0" borderId="52" xfId="0" applyFont="1" applyBorder="1" applyAlignment="1">
      <alignment horizontal="center" vertical="top"/>
    </xf>
    <xf numFmtId="0" fontId="53" fillId="2" borderId="0" xfId="0" applyFont="1" applyFill="1" applyAlignment="1">
      <alignment horizontal="center" vertical="center"/>
    </xf>
    <xf numFmtId="0" fontId="101" fillId="2" borderId="0" xfId="0" applyFont="1" applyFill="1" applyAlignment="1">
      <alignment horizontal="left" vertical="center"/>
    </xf>
    <xf numFmtId="3" fontId="105" fillId="0" borderId="54" xfId="0" applyNumberFormat="1" applyFont="1" applyBorder="1" applyAlignment="1">
      <alignment horizontal="center" vertical="top"/>
    </xf>
    <xf numFmtId="3" fontId="105" fillId="0" borderId="44" xfId="0" applyNumberFormat="1" applyFont="1" applyBorder="1" applyAlignment="1">
      <alignment horizontal="center" vertical="top"/>
    </xf>
    <xf numFmtId="3" fontId="105" fillId="0" borderId="55" xfId="0" applyNumberFormat="1" applyFont="1" applyBorder="1" applyAlignment="1">
      <alignment horizontal="center" vertical="top"/>
    </xf>
    <xf numFmtId="3" fontId="105" fillId="0" borderId="51" xfId="0" applyNumberFormat="1" applyFont="1" applyBorder="1" applyAlignment="1">
      <alignment horizontal="center" vertical="top"/>
    </xf>
    <xf numFmtId="3" fontId="105" fillId="0" borderId="0" xfId="0" applyNumberFormat="1" applyFont="1" applyAlignment="1">
      <alignment horizontal="center" vertical="top"/>
    </xf>
    <xf numFmtId="3" fontId="105" fillId="0" borderId="52" xfId="0" applyNumberFormat="1" applyFont="1" applyBorder="1" applyAlignment="1">
      <alignment horizontal="center" vertical="top"/>
    </xf>
    <xf numFmtId="10" fontId="105" fillId="0" borderId="64" xfId="1" applyNumberFormat="1" applyFont="1" applyBorder="1" applyAlignment="1">
      <alignment horizontal="center" vertical="top"/>
    </xf>
    <xf numFmtId="10" fontId="105" fillId="0" borderId="8" xfId="1" applyNumberFormat="1" applyFont="1" applyBorder="1" applyAlignment="1">
      <alignment horizontal="center" vertical="top"/>
    </xf>
    <xf numFmtId="10" fontId="105" fillId="0" borderId="65" xfId="1" applyNumberFormat="1" applyFont="1" applyBorder="1" applyAlignment="1">
      <alignment horizontal="center" vertical="top"/>
    </xf>
    <xf numFmtId="10" fontId="105" fillId="0" borderId="51" xfId="1" applyNumberFormat="1" applyFont="1" applyBorder="1" applyAlignment="1">
      <alignment horizontal="center" vertical="top"/>
    </xf>
    <xf numFmtId="10" fontId="105" fillId="0" borderId="0" xfId="1" applyNumberFormat="1" applyFont="1" applyBorder="1" applyAlignment="1">
      <alignment horizontal="center" vertical="top"/>
    </xf>
    <xf numFmtId="10" fontId="105" fillId="0" borderId="52" xfId="1" applyNumberFormat="1" applyFont="1" applyBorder="1" applyAlignment="1">
      <alignment horizontal="center" vertical="top"/>
    </xf>
    <xf numFmtId="10" fontId="105" fillId="0" borderId="54" xfId="1" applyNumberFormat="1" applyFont="1" applyBorder="1" applyAlignment="1">
      <alignment horizontal="center" vertical="top"/>
    </xf>
    <xf numFmtId="10" fontId="105" fillId="0" borderId="44" xfId="1" applyNumberFormat="1" applyFont="1" applyBorder="1" applyAlignment="1">
      <alignment horizontal="center" vertical="top"/>
    </xf>
    <xf numFmtId="10" fontId="105" fillId="0" borderId="55" xfId="1" applyNumberFormat="1" applyFont="1" applyBorder="1" applyAlignment="1">
      <alignment horizontal="center" vertical="top"/>
    </xf>
    <xf numFmtId="3" fontId="105" fillId="0" borderId="54" xfId="1" applyNumberFormat="1" applyFont="1" applyBorder="1" applyAlignment="1">
      <alignment horizontal="center" vertical="top"/>
    </xf>
    <xf numFmtId="3" fontId="105" fillId="0" borderId="44" xfId="1" applyNumberFormat="1" applyFont="1" applyBorder="1" applyAlignment="1">
      <alignment horizontal="center" vertical="top"/>
    </xf>
    <xf numFmtId="3" fontId="105" fillId="0" borderId="55" xfId="1" applyNumberFormat="1" applyFont="1" applyBorder="1" applyAlignment="1">
      <alignment horizontal="center" vertical="top"/>
    </xf>
    <xf numFmtId="3" fontId="105" fillId="0" borderId="51" xfId="1" applyNumberFormat="1" applyFont="1" applyBorder="1" applyAlignment="1">
      <alignment horizontal="center" vertical="top"/>
    </xf>
    <xf numFmtId="3" fontId="105" fillId="0" borderId="0" xfId="1" applyNumberFormat="1" applyFont="1" applyBorder="1" applyAlignment="1">
      <alignment horizontal="center" vertical="top"/>
    </xf>
    <xf numFmtId="3" fontId="105" fillId="0" borderId="52" xfId="1" applyNumberFormat="1" applyFont="1" applyBorder="1" applyAlignment="1">
      <alignment horizontal="center" vertical="top"/>
    </xf>
    <xf numFmtId="4" fontId="105" fillId="0" borderId="54" xfId="0" applyNumberFormat="1" applyFont="1" applyBorder="1" applyAlignment="1">
      <alignment horizontal="center" vertical="top"/>
    </xf>
    <xf numFmtId="4" fontId="105" fillId="0" borderId="44" xfId="0" applyNumberFormat="1" applyFont="1" applyBorder="1" applyAlignment="1">
      <alignment horizontal="center" vertical="top"/>
    </xf>
    <xf numFmtId="4" fontId="105" fillId="0" borderId="55" xfId="0" applyNumberFormat="1" applyFont="1" applyBorder="1" applyAlignment="1">
      <alignment horizontal="center" vertical="top"/>
    </xf>
    <xf numFmtId="4" fontId="105" fillId="0" borderId="51" xfId="0" applyNumberFormat="1" applyFont="1" applyBorder="1" applyAlignment="1">
      <alignment horizontal="center" vertical="top"/>
    </xf>
    <xf numFmtId="4" fontId="105" fillId="0" borderId="0" xfId="0" applyNumberFormat="1" applyFont="1" applyAlignment="1">
      <alignment horizontal="center" vertical="top"/>
    </xf>
    <xf numFmtId="4" fontId="105" fillId="0" borderId="52" xfId="0" applyNumberFormat="1" applyFont="1" applyBorder="1" applyAlignment="1">
      <alignment horizontal="center" vertical="top"/>
    </xf>
    <xf numFmtId="0" fontId="100" fillId="2" borderId="0" xfId="0" applyFont="1" applyFill="1" applyAlignment="1">
      <alignment horizontal="left" vertical="center"/>
    </xf>
    <xf numFmtId="0" fontId="0" fillId="0" borderId="0" xfId="0"/>
    <xf numFmtId="0" fontId="4" fillId="15" borderId="6" xfId="2" applyFill="1" applyBorder="1" applyAlignment="1" applyProtection="1">
      <alignment horizontal="left" vertical="center"/>
      <protection hidden="1"/>
    </xf>
    <xf numFmtId="0" fontId="8" fillId="3" borderId="0" xfId="0" applyFont="1" applyFill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77" fillId="21" borderId="58" xfId="6" applyFont="1" applyFill="1" applyBorder="1" applyAlignment="1">
      <alignment horizontal="center" vertical="center"/>
    </xf>
    <xf numFmtId="0" fontId="77" fillId="21" borderId="59" xfId="6" applyFont="1" applyFill="1" applyBorder="1" applyAlignment="1">
      <alignment horizontal="center" vertical="center"/>
    </xf>
    <xf numFmtId="0" fontId="77" fillId="21" borderId="60" xfId="6" applyFont="1" applyFill="1" applyBorder="1" applyAlignment="1">
      <alignment horizontal="center" vertical="center"/>
    </xf>
    <xf numFmtId="0" fontId="88" fillId="21" borderId="58" xfId="6" applyFont="1" applyFill="1" applyBorder="1" applyAlignment="1">
      <alignment horizontal="center" vertical="center"/>
    </xf>
    <xf numFmtId="0" fontId="88" fillId="21" borderId="59" xfId="6" applyFont="1" applyFill="1" applyBorder="1" applyAlignment="1">
      <alignment horizontal="center" vertical="center"/>
    </xf>
    <xf numFmtId="0" fontId="88" fillId="21" borderId="60" xfId="6" applyFont="1" applyFill="1" applyBorder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74" fillId="0" borderId="24" xfId="0" applyFont="1" applyBorder="1" applyAlignment="1">
      <alignment horizontal="left" vertical="top" wrapText="1"/>
    </xf>
    <xf numFmtId="0" fontId="74" fillId="0" borderId="24" xfId="0" applyFont="1" applyBorder="1" applyAlignment="1">
      <alignment horizontal="left" vertical="top"/>
    </xf>
    <xf numFmtId="0" fontId="72" fillId="24" borderId="41" xfId="0" applyFont="1" applyFill="1" applyBorder="1" applyAlignment="1">
      <alignment horizontal="center" vertical="center"/>
    </xf>
    <xf numFmtId="0" fontId="72" fillId="24" borderId="45" xfId="0" applyFont="1" applyFill="1" applyBorder="1" applyAlignment="1">
      <alignment horizontal="center" vertical="center"/>
    </xf>
    <xf numFmtId="0" fontId="72" fillId="24" borderId="58" xfId="0" applyFont="1" applyFill="1" applyBorder="1" applyAlignment="1">
      <alignment horizontal="center" vertical="center"/>
    </xf>
    <xf numFmtId="0" fontId="72" fillId="24" borderId="59" xfId="0" applyFont="1" applyFill="1" applyBorder="1" applyAlignment="1">
      <alignment horizontal="center" vertical="center"/>
    </xf>
    <xf numFmtId="0" fontId="72" fillId="24" borderId="60" xfId="0" applyFont="1" applyFill="1" applyBorder="1" applyAlignment="1">
      <alignment horizontal="center" vertical="center"/>
    </xf>
    <xf numFmtId="0" fontId="72" fillId="24" borderId="61" xfId="0" applyFont="1" applyFill="1" applyBorder="1" applyAlignment="1">
      <alignment horizontal="center" vertical="center"/>
    </xf>
    <xf numFmtId="0" fontId="72" fillId="24" borderId="62" xfId="0" applyFont="1" applyFill="1" applyBorder="1" applyAlignment="1">
      <alignment horizontal="center" vertical="center"/>
    </xf>
    <xf numFmtId="0" fontId="72" fillId="24" borderId="63" xfId="0" applyFont="1" applyFill="1" applyBorder="1" applyAlignment="1">
      <alignment horizontal="center" vertical="center"/>
    </xf>
    <xf numFmtId="0" fontId="70" fillId="31" borderId="58" xfId="0" applyFont="1" applyFill="1" applyBorder="1" applyAlignment="1">
      <alignment horizontal="left"/>
    </xf>
    <xf numFmtId="0" fontId="70" fillId="31" borderId="73" xfId="0" applyFont="1" applyFill="1" applyBorder="1" applyAlignment="1">
      <alignment horizontal="left"/>
    </xf>
    <xf numFmtId="0" fontId="87" fillId="21" borderId="58" xfId="6" applyFont="1" applyFill="1" applyBorder="1" applyAlignment="1">
      <alignment horizontal="center" vertical="center"/>
    </xf>
    <xf numFmtId="0" fontId="87" fillId="21" borderId="59" xfId="6" applyFont="1" applyFill="1" applyBorder="1" applyAlignment="1">
      <alignment horizontal="center" vertical="center"/>
    </xf>
    <xf numFmtId="0" fontId="87" fillId="21" borderId="60" xfId="6" applyFont="1" applyFill="1" applyBorder="1" applyAlignment="1">
      <alignment horizontal="center" vertical="center"/>
    </xf>
    <xf numFmtId="43" fontId="82" fillId="29" borderId="43" xfId="4" applyFont="1" applyFill="1" applyBorder="1" applyAlignment="1">
      <alignment horizontal="center" vertical="center"/>
    </xf>
    <xf numFmtId="43" fontId="82" fillId="29" borderId="82" xfId="4" applyFont="1" applyFill="1" applyBorder="1" applyAlignment="1">
      <alignment horizontal="center" vertical="center"/>
    </xf>
    <xf numFmtId="43" fontId="82" fillId="29" borderId="83" xfId="4" applyFont="1" applyFill="1" applyBorder="1" applyAlignment="1">
      <alignment horizontal="center" vertical="center"/>
    </xf>
    <xf numFmtId="0" fontId="89" fillId="21" borderId="58" xfId="6" applyFont="1" applyFill="1" applyBorder="1" applyAlignment="1">
      <alignment horizontal="center" vertical="center"/>
    </xf>
    <xf numFmtId="0" fontId="89" fillId="21" borderId="59" xfId="6" applyFont="1" applyFill="1" applyBorder="1" applyAlignment="1">
      <alignment horizontal="center" vertical="center"/>
    </xf>
    <xf numFmtId="0" fontId="89" fillId="21" borderId="60" xfId="6" applyFont="1" applyFill="1" applyBorder="1" applyAlignment="1">
      <alignment horizontal="center" vertical="center"/>
    </xf>
    <xf numFmtId="0" fontId="76" fillId="25" borderId="43" xfId="0" applyFont="1" applyFill="1" applyBorder="1" applyAlignment="1">
      <alignment vertical="center"/>
    </xf>
    <xf numFmtId="0" fontId="76" fillId="25" borderId="83" xfId="0" applyFont="1" applyFill="1" applyBorder="1" applyAlignment="1">
      <alignment vertical="center"/>
    </xf>
    <xf numFmtId="172" fontId="76" fillId="31" borderId="43" xfId="0" applyNumberFormat="1" applyFont="1" applyFill="1" applyBorder="1" applyAlignment="1">
      <alignment horizontal="center" vertical="center" wrapText="1"/>
    </xf>
    <xf numFmtId="172" fontId="76" fillId="31" borderId="83" xfId="0" applyNumberFormat="1" applyFont="1" applyFill="1" applyBorder="1" applyAlignment="1">
      <alignment horizontal="center" vertical="center" wrapText="1"/>
    </xf>
    <xf numFmtId="0" fontId="86" fillId="21" borderId="58" xfId="6" applyFont="1" applyFill="1" applyBorder="1" applyAlignment="1">
      <alignment horizontal="center" vertical="center"/>
    </xf>
    <xf numFmtId="0" fontId="86" fillId="21" borderId="59" xfId="6" applyFont="1" applyFill="1" applyBorder="1" applyAlignment="1">
      <alignment horizontal="center" vertical="center"/>
    </xf>
    <xf numFmtId="0" fontId="86" fillId="21" borderId="60" xfId="6" applyFont="1" applyFill="1" applyBorder="1" applyAlignment="1">
      <alignment horizontal="center" vertical="center"/>
    </xf>
    <xf numFmtId="0" fontId="83" fillId="24" borderId="58" xfId="0" applyFont="1" applyFill="1" applyBorder="1" applyAlignment="1">
      <alignment horizontal="center" vertical="center"/>
    </xf>
    <xf numFmtId="0" fontId="83" fillId="24" borderId="60" xfId="0" applyFont="1" applyFill="1" applyBorder="1" applyAlignment="1">
      <alignment horizontal="center" vertical="center"/>
    </xf>
    <xf numFmtId="0" fontId="54" fillId="21" borderId="43" xfId="0" applyFont="1" applyFill="1" applyBorder="1" applyAlignment="1">
      <alignment horizontal="center" vertical="top"/>
    </xf>
    <xf numFmtId="0" fontId="54" fillId="21" borderId="83" xfId="0" applyFont="1" applyFill="1" applyBorder="1" applyAlignment="1">
      <alignment horizontal="center" vertical="top"/>
    </xf>
    <xf numFmtId="0" fontId="54" fillId="21" borderId="43" xfId="0" applyFont="1" applyFill="1" applyBorder="1" applyAlignment="1">
      <alignment horizontal="left" vertical="top"/>
    </xf>
    <xf numFmtId="0" fontId="54" fillId="21" borderId="83" xfId="0" applyFont="1" applyFill="1" applyBorder="1" applyAlignment="1">
      <alignment horizontal="left" vertical="top"/>
    </xf>
    <xf numFmtId="172" fontId="76" fillId="31" borderId="82" xfId="0" applyNumberFormat="1" applyFont="1" applyFill="1" applyBorder="1" applyAlignment="1">
      <alignment vertical="center" wrapText="1"/>
    </xf>
    <xf numFmtId="172" fontId="76" fillId="31" borderId="83" xfId="0" applyNumberFormat="1" applyFont="1" applyFill="1" applyBorder="1" applyAlignment="1">
      <alignment vertical="center" wrapText="1"/>
    </xf>
    <xf numFmtId="0" fontId="54" fillId="21" borderId="43" xfId="0" applyFont="1" applyFill="1" applyBorder="1" applyAlignment="1">
      <alignment vertical="top"/>
    </xf>
    <xf numFmtId="0" fontId="54" fillId="21" borderId="83" xfId="0" applyFont="1" applyFill="1" applyBorder="1" applyAlignment="1">
      <alignment vertical="top"/>
    </xf>
    <xf numFmtId="0" fontId="80" fillId="21" borderId="58" xfId="6" applyFont="1" applyFill="1" applyBorder="1" applyAlignment="1">
      <alignment horizontal="center" vertical="center"/>
    </xf>
    <xf numFmtId="0" fontId="80" fillId="21" borderId="59" xfId="6" applyFont="1" applyFill="1" applyBorder="1" applyAlignment="1">
      <alignment horizontal="center" vertical="center"/>
    </xf>
    <xf numFmtId="0" fontId="80" fillId="21" borderId="60" xfId="6" applyFont="1" applyFill="1" applyBorder="1" applyAlignment="1">
      <alignment horizontal="center" vertical="center"/>
    </xf>
    <xf numFmtId="0" fontId="2" fillId="0" borderId="58" xfId="0" applyFont="1" applyBorder="1" applyAlignment="1">
      <alignment horizontal="center"/>
    </xf>
    <xf numFmtId="0" fontId="2" fillId="0" borderId="59" xfId="0" applyFont="1" applyBorder="1" applyAlignment="1">
      <alignment horizontal="center"/>
    </xf>
    <xf numFmtId="0" fontId="2" fillId="0" borderId="60" xfId="0" applyFont="1" applyBorder="1" applyAlignment="1">
      <alignment horizontal="center"/>
    </xf>
    <xf numFmtId="0" fontId="2" fillId="0" borderId="61" xfId="0" applyFont="1" applyBorder="1" applyAlignment="1">
      <alignment horizontal="center"/>
    </xf>
    <xf numFmtId="0" fontId="2" fillId="0" borderId="62" xfId="0" applyFont="1" applyBorder="1" applyAlignment="1">
      <alignment horizontal="center"/>
    </xf>
    <xf numFmtId="0" fontId="2" fillId="0" borderId="63" xfId="0" applyFont="1" applyBorder="1" applyAlignment="1">
      <alignment horizontal="center"/>
    </xf>
  </cellXfs>
  <cellStyles count="11">
    <cellStyle name="Accent5" xfId="2" builtinId="45"/>
    <cellStyle name="Bad" xfId="8" builtinId="27"/>
    <cellStyle name="Comma" xfId="4" builtinId="3"/>
    <cellStyle name="Currency" xfId="5" builtinId="4"/>
    <cellStyle name="Explanatory Text" xfId="3" builtinId="53"/>
    <cellStyle name="Good" xfId="7" builtinId="26"/>
    <cellStyle name="Heading 1" xfId="6" builtinId="16"/>
    <cellStyle name="Hyperlink" xfId="10" builtinId="8"/>
    <cellStyle name="Hyperlink 2" xfId="9" xr:uid="{57A0F9B6-08B3-47DA-80FC-03468F65384C}"/>
    <cellStyle name="Normal" xfId="0" builtinId="0"/>
    <cellStyle name="Percent" xfId="1" builtinId="5"/>
  </cellStyles>
  <dxfs count="40"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01B1A3"/>
      </font>
    </dxf>
    <dxf>
      <font>
        <color rgb="FFFB5A56"/>
      </font>
    </dxf>
    <dxf>
      <font>
        <color rgb="FFFB5A56"/>
      </font>
    </dxf>
    <dxf>
      <font>
        <color rgb="FF01B1A3"/>
      </font>
    </dxf>
    <dxf>
      <font>
        <color rgb="FF01B1A3"/>
      </font>
    </dxf>
    <dxf>
      <font>
        <color rgb="FFFB5A56"/>
      </font>
    </dxf>
  </dxfs>
  <tableStyles count="0" defaultTableStyle="TableStyleMedium2" defaultPivotStyle="PivotStyleLight16"/>
  <colors>
    <mruColors>
      <color rgb="FF01B1A3"/>
      <color rgb="FF435361"/>
      <color rgb="FFE5E0EC"/>
      <color rgb="FFF1EFF5"/>
      <color rgb="FFFB5A56"/>
      <color rgb="FFDCDCDC"/>
      <color rgb="FF647C92"/>
      <color rgb="FFF2C80F"/>
      <color rgb="FFFDF5D3"/>
      <color rgb="FFFEFA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data!$E$7:$I$7</c:f>
              <c:numCache>
                <c:formatCode>_(* #,##0.00_);_(* \(#,##0.00\);_(* "-"??_);_(@_)</c:formatCode>
                <c:ptCount val="5"/>
                <c:pt idx="0">
                  <c:v>3878375</c:v>
                </c:pt>
                <c:pt idx="1">
                  <c:v>4213766.25</c:v>
                </c:pt>
                <c:pt idx="2">
                  <c:v>4436387.0750000002</c:v>
                </c:pt>
                <c:pt idx="3">
                  <c:v>5049956.3133333325</c:v>
                </c:pt>
                <c:pt idx="4">
                  <c:v>5450505.0679166652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C69-4F5A-BEAD-3CC34F4FF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data!$E$15:$I$15</c:f>
              <c:numCache>
                <c:formatCode>0</c:formatCode>
                <c:ptCount val="5"/>
                <c:pt idx="0">
                  <c:v>3880822.5</c:v>
                </c:pt>
                <c:pt idx="1">
                  <c:v>3836197.5</c:v>
                </c:pt>
                <c:pt idx="2">
                  <c:v>3695136.375</c:v>
                </c:pt>
                <c:pt idx="3">
                  <c:v>4272841.6500000004</c:v>
                </c:pt>
                <c:pt idx="4">
                  <c:v>4209841.6500000004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D2-454B-902D-D1495E6C0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38100" cap="rnd">
              <a:solidFill>
                <a:srgbClr val="435361"/>
              </a:solidFill>
              <a:round/>
            </a:ln>
            <a:effectLst/>
          </c:spPr>
          <c:marker>
            <c:symbol val="none"/>
          </c:marker>
          <c:val>
            <c:numRef>
              <c:f>data!$E$19:$I$19</c:f>
              <c:numCache>
                <c:formatCode>0.00%</c:formatCode>
                <c:ptCount val="5"/>
                <c:pt idx="0">
                  <c:v>-0.11305337912057835</c:v>
                </c:pt>
                <c:pt idx="1">
                  <c:v>0.23305271558019647</c:v>
                </c:pt>
                <c:pt idx="2">
                  <c:v>0.45351121357038876</c:v>
                </c:pt>
                <c:pt idx="3">
                  <c:v>0.3222422641957175</c:v>
                </c:pt>
                <c:pt idx="4">
                  <c:v>0.33969851457702332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A0-4AE9-84DA-4547FC8F91B3}"/>
            </c:ext>
          </c:extLst>
        </c:ser>
        <c:ser>
          <c:idx val="1"/>
          <c:order val="1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data!$E$19:$I$19</c:f>
              <c:numCache>
                <c:formatCode>0.00%</c:formatCode>
                <c:ptCount val="5"/>
                <c:pt idx="0">
                  <c:v>-0.11305337912057835</c:v>
                </c:pt>
                <c:pt idx="1">
                  <c:v>0.23305271558019647</c:v>
                </c:pt>
                <c:pt idx="2">
                  <c:v>0.45351121357038876</c:v>
                </c:pt>
                <c:pt idx="3">
                  <c:v>0.3222422641957175</c:v>
                </c:pt>
                <c:pt idx="4">
                  <c:v>0.33969851457702332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A0-4AE9-84DA-4547FC8F9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data!$E$20:$I$20</c:f>
              <c:numCache>
                <c:formatCode>0.00%</c:formatCode>
                <c:ptCount val="5"/>
                <c:pt idx="0">
                  <c:v>-2.1513194444444446E-2</c:v>
                </c:pt>
                <c:pt idx="1">
                  <c:v>7.9665284360189575E-2</c:v>
                </c:pt>
                <c:pt idx="2">
                  <c:v>0.18155227353441841</c:v>
                </c:pt>
                <c:pt idx="3">
                  <c:v>0.17382312758705235</c:v>
                </c:pt>
                <c:pt idx="4">
                  <c:v>0.24888662906660386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9-4FF5-9149-B053CFEE9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data!$E$13:$I$13</c:f>
              <c:numCache>
                <c:formatCode>0</c:formatCode>
                <c:ptCount val="5"/>
                <c:pt idx="0">
                  <c:v>-77447.5</c:v>
                </c:pt>
                <c:pt idx="1">
                  <c:v>208167.3</c:v>
                </c:pt>
                <c:pt idx="2">
                  <c:v>741250.70000000019</c:v>
                </c:pt>
                <c:pt idx="3">
                  <c:v>777114.66333333263</c:v>
                </c:pt>
                <c:pt idx="4">
                  <c:v>1240663.4179166653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6F-4F16-9ACC-69677CAC9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83307975204097"/>
          <c:y val="0.24979392448248672"/>
          <c:w val="0.77916692024795908"/>
          <c:h val="0.50041215103502656"/>
        </c:manualLayout>
      </c:layout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data!$E$16:$I$16</c:f>
              <c:numCache>
                <c:formatCode>0.00%</c:formatCode>
                <c:ptCount val="5"/>
                <c:pt idx="0">
                  <c:v>-6.5353644669750924E-2</c:v>
                </c:pt>
                <c:pt idx="1">
                  <c:v>0.21717230116884648</c:v>
                </c:pt>
                <c:pt idx="2">
                  <c:v>0.45351121357038887</c:v>
                </c:pt>
                <c:pt idx="3">
                  <c:v>0.32224226419571755</c:v>
                </c:pt>
                <c:pt idx="4">
                  <c:v>0.33969851457702338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9-43F1-ACB0-CBCF39F97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data!$E$17:$I$17</c:f>
              <c:numCache>
                <c:formatCode>0.00</c:formatCode>
                <c:ptCount val="5"/>
                <c:pt idx="0">
                  <c:v>-2.1513194444444446E-2</c:v>
                </c:pt>
                <c:pt idx="1">
                  <c:v>5.4809715639810422E-2</c:v>
                </c:pt>
                <c:pt idx="2">
                  <c:v>0.18155227353441841</c:v>
                </c:pt>
                <c:pt idx="3">
                  <c:v>0.17382312758705235</c:v>
                </c:pt>
                <c:pt idx="4">
                  <c:v>0.24888662906660386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B8-4E1E-9A30-2108BBA61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data!$E$18:$I$18</c:f>
              <c:numCache>
                <c:formatCode>0.00</c:formatCode>
                <c:ptCount val="5"/>
                <c:pt idx="0">
                  <c:v>0.23314521098202426</c:v>
                </c:pt>
                <c:pt idx="1">
                  <c:v>0.4936854313235749</c:v>
                </c:pt>
                <c:pt idx="2">
                  <c:v>0.63128665102108827</c:v>
                </c:pt>
                <c:pt idx="3">
                  <c:v>0.66120574316307934</c:v>
                </c:pt>
                <c:pt idx="4">
                  <c:v>0.5568043436956287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A6-4937-944C-B8BF3875F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859228777473951E-2"/>
          <c:y val="5.5056472411134628E-2"/>
          <c:w val="0.93466170727535802"/>
          <c:h val="0.70824349050363267"/>
        </c:manualLayout>
      </c:layout>
      <c:barChart>
        <c:barDir val="col"/>
        <c:grouping val="clustered"/>
        <c:varyColors val="0"/>
        <c:ser>
          <c:idx val="0"/>
          <c:order val="0"/>
          <c:tx>
            <c:v>Start - End</c:v>
          </c:tx>
          <c:spPr>
            <a:solidFill>
              <a:srgbClr val="435361"/>
            </a:solidFill>
            <a:ln>
              <a:solidFill>
                <a:srgbClr val="808080"/>
              </a:solidFill>
            </a:ln>
          </c:spPr>
          <c:invertIfNegative val="0"/>
          <c:dLbls>
            <c:dLbl>
              <c:idx val="6"/>
              <c:layout>
                <c:manualLayout>
                  <c:x val="-3.2818527840543212E-6"/>
                  <c:y val="1.55146614978953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16-4033-B11B-D88705FF3A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baseline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Statement!$C$4:$C$10</c:f>
              <c:strCache>
                <c:ptCount val="7"/>
                <c:pt idx="0">
                  <c:v>Total Income</c:v>
                </c:pt>
                <c:pt idx="1">
                  <c:v>Cost of Goods Sold</c:v>
                </c:pt>
                <c:pt idx="2">
                  <c:v>Gross Profit </c:v>
                </c:pt>
                <c:pt idx="3">
                  <c:v>Total Operating Expenses  </c:v>
                </c:pt>
                <c:pt idx="4">
                  <c:v>Profit Before Tax (PBT)</c:v>
                </c:pt>
                <c:pt idx="5">
                  <c:v>Taxes    </c:v>
                </c:pt>
                <c:pt idx="6">
                  <c:v>Net Profit   </c:v>
                </c:pt>
              </c:strCache>
            </c:strRef>
          </c:cat>
          <c:val>
            <c:numRef>
              <c:f>ChartsDataSheet!$BYG$2:$BYG$8</c:f>
              <c:numCache>
                <c:formatCode>_ * #,##0_ ;_ * \-#,##0_ ;_ * "-"??_ ;_ @_ </c:formatCode>
                <c:ptCount val="7"/>
                <c:pt idx="0">
                  <c:v>3878375</c:v>
                </c:pt>
                <c:pt idx="6">
                  <c:v>-77447.5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E0-4777-81AC-82A9B7B9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3"/>
        <c:axId val="454485696"/>
        <c:axId val="454486352"/>
      </c:barChart>
      <c:lineChart>
        <c:grouping val="standard"/>
        <c:varyColors val="0"/>
        <c:ser>
          <c:idx val="1"/>
          <c:order val="1"/>
          <c:tx>
            <c:v>Before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ChartsDataSheet!$BYH$2:$BYH$8</c:f>
              <c:numCache>
                <c:formatCode>_ * #,##0_ ;_ * \-#,##0_ ;_ * "-"??_ ;_ @_ </c:formatCode>
                <c:ptCount val="7"/>
                <c:pt idx="1">
                  <c:v>3878375</c:v>
                </c:pt>
                <c:pt idx="2">
                  <c:v>1476625</c:v>
                </c:pt>
                <c:pt idx="3">
                  <c:v>1476625</c:v>
                </c:pt>
                <c:pt idx="4">
                  <c:v>-77447.5</c:v>
                </c:pt>
                <c:pt idx="5">
                  <c:v>-77447.5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E0-4777-81AC-82A9B7B98304}"/>
            </c:ext>
          </c:extLst>
        </c:ser>
        <c:ser>
          <c:idx val="2"/>
          <c:order val="2"/>
          <c:tx>
            <c:v>After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9BBB59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ChartsDataSheet!$BYI$2:$BYI$8</c:f>
              <c:numCache>
                <c:formatCode>_ * #,##0_ ;_ * \-#,##0_ ;_ * "-"??_ ;_ @_ </c:formatCode>
                <c:ptCount val="7"/>
                <c:pt idx="1">
                  <c:v>1476625</c:v>
                </c:pt>
                <c:pt idx="2">
                  <c:v>1476625</c:v>
                </c:pt>
                <c:pt idx="3">
                  <c:v>-77447.5</c:v>
                </c:pt>
                <c:pt idx="4">
                  <c:v>-77447.5</c:v>
                </c:pt>
                <c:pt idx="5">
                  <c:v>-77447.5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E0-4777-81AC-82A9B7B9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75"/>
          <c:upBars>
            <c:spPr>
              <a:solidFill>
                <a:srgbClr val="01B1A3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upBars>
          <c:downBars>
            <c:spPr>
              <a:solidFill>
                <a:srgbClr val="FB5A56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downBars>
        </c:upDownBars>
        <c:marker val="1"/>
        <c:smooth val="0"/>
        <c:axId val="454485696"/>
        <c:axId val="454486352"/>
      </c:lineChart>
      <c:scatterChart>
        <c:scatterStyle val="lineMarker"/>
        <c:varyColors val="0"/>
        <c:ser>
          <c:idx val="3"/>
          <c:order val="3"/>
          <c:tx>
            <c:v>Data label position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FE0-4777-81AC-82A9B7B98304}"/>
                </c:ext>
              </c:extLst>
            </c:dLbl>
            <c:dLbl>
              <c:idx val="1"/>
              <c:layout>
                <c:manualLayout>
                  <c:x val="-8.305622153744957E-2"/>
                  <c:y val="-4.9070185906085327E-2"/>
                </c:manualLayout>
              </c:layout>
              <c:tx>
                <c:rich>
                  <a:bodyPr/>
                  <a:lstStyle/>
                  <a:p>
                    <a:fld id="{261D9268-B7DB-4770-9670-89C28A8840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FE0-4777-81AC-82A9B7B98304}"/>
                </c:ext>
              </c:extLst>
            </c:dLbl>
            <c:dLbl>
              <c:idx val="2"/>
              <c:layout>
                <c:manualLayout>
                  <c:x val="-8.6222957657255295E-2"/>
                  <c:y val="-6.7083058727638742E-2"/>
                </c:manualLayout>
              </c:layout>
              <c:tx>
                <c:rich>
                  <a:bodyPr/>
                  <a:lstStyle/>
                  <a:p>
                    <a:fld id="{1614F5B7-08DC-444B-9EE8-9C81862A57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FE0-4777-81AC-82A9B7B98304}"/>
                </c:ext>
              </c:extLst>
            </c:dLbl>
            <c:dLbl>
              <c:idx val="3"/>
              <c:layout>
                <c:manualLayout>
                  <c:x val="-6.8170646030376411E-2"/>
                  <c:y val="-6.7083173346852792E-2"/>
                </c:manualLayout>
              </c:layout>
              <c:tx>
                <c:rich>
                  <a:bodyPr/>
                  <a:lstStyle/>
                  <a:p>
                    <a:fld id="{3CAC22BE-0BC6-4A02-8434-6ED6D3BCE4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FE0-4777-81AC-82A9B7B98304}"/>
                </c:ext>
              </c:extLst>
            </c:dLbl>
            <c:dLbl>
              <c:idx val="4"/>
              <c:layout>
                <c:manualLayout>
                  <c:x val="-8.3256405416971213E-2"/>
                  <c:y val="-9.1100222489709975E-2"/>
                </c:manualLayout>
              </c:layout>
              <c:tx>
                <c:rich>
                  <a:bodyPr/>
                  <a:lstStyle/>
                  <a:p>
                    <a:fld id="{8F6948B9-11DF-4258-A208-9DFD8D0798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3FE0-4777-81AC-82A9B7B98304}"/>
                </c:ext>
              </c:extLst>
            </c:dLbl>
            <c:dLbl>
              <c:idx val="5"/>
              <c:layout>
                <c:manualLayout>
                  <c:x val="-3.94997598727794E-2"/>
                  <c:y val="-7.9091640608674352E-2"/>
                </c:manualLayout>
              </c:layout>
              <c:tx>
                <c:rich>
                  <a:bodyPr/>
                  <a:lstStyle/>
                  <a:p>
                    <a:fld id="{7299F38A-FA0D-4842-B0D8-82E19CA0D9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3FE0-4777-81AC-82A9B7B983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FE0-4777-81AC-82A9B7B983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yVal>
            <c:numRef>
              <c:f>ChartsDataSheet!$BYJ$2:$BYJ$8</c:f>
              <c:numCache>
                <c:formatCode>_ * #,##0_ ;_ * \-#,##0_ ;_ * "-"??_ ;_ @_ </c:formatCode>
                <c:ptCount val="7"/>
                <c:pt idx="1">
                  <c:v>3878375</c:v>
                </c:pt>
                <c:pt idx="2">
                  <c:v>1476625</c:v>
                </c:pt>
                <c:pt idx="3">
                  <c:v>1476625</c:v>
                </c:pt>
                <c:pt idx="4">
                  <c:v>-77447.5</c:v>
                </c:pt>
                <c:pt idx="5">
                  <c:v>-77447.5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ChartsDataSheet!$BYE$2:$BYE$8</c15:f>
                <c15:dlblRangeCache>
                  <c:ptCount val="7"/>
                  <c:pt idx="0">
                    <c:v>+38,78,375.0</c:v>
                  </c:pt>
                  <c:pt idx="1">
                    <c:v>-24,01,750</c:v>
                  </c:pt>
                  <c:pt idx="2">
                    <c:v>+14,76,625</c:v>
                  </c:pt>
                  <c:pt idx="3">
                    <c:v>-15,54,073</c:v>
                  </c:pt>
                  <c:pt idx="4">
                    <c:v>-77,448</c:v>
                  </c:pt>
                  <c:pt idx="5">
                    <c:v>+0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FE0-4777-81AC-82A9B7B98304}"/>
            </c:ext>
          </c:extLst>
        </c:ser>
        <c:ser>
          <c:idx val="4"/>
          <c:order val="4"/>
          <c:tx>
            <c:v>Cumulative</c:v>
          </c:tx>
          <c:spPr>
            <a:ln w="28575">
              <a:noFill/>
            </a:ln>
          </c:spPr>
          <c:marker>
            <c:symbol val="none"/>
          </c:marker>
          <c:yVal>
            <c:numRef>
              <c:f>ChartsDataSheet!$BYF$2:$BYF$8</c:f>
              <c:numCache>
                <c:formatCode>_ * #,##0_ ;_ * \-#,##0_ ;_ * "-"??_ ;_ @_ </c:formatCode>
                <c:ptCount val="7"/>
                <c:pt idx="0">
                  <c:v>3878375</c:v>
                </c:pt>
                <c:pt idx="1">
                  <c:v>1476625</c:v>
                </c:pt>
                <c:pt idx="2">
                  <c:v>1476625</c:v>
                </c:pt>
                <c:pt idx="3">
                  <c:v>-77447.5</c:v>
                </c:pt>
                <c:pt idx="4">
                  <c:v>-77447.5</c:v>
                </c:pt>
                <c:pt idx="5">
                  <c:v>-77447.5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FE0-4777-81AC-82A9B7B9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485696"/>
        <c:axId val="454486352"/>
      </c:scatterChart>
      <c:catAx>
        <c:axId val="45448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1050" b="1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454486352"/>
        <c:crosses val="autoZero"/>
        <c:auto val="1"/>
        <c:lblAlgn val="ctr"/>
        <c:lblOffset val="0"/>
        <c:noMultiLvlLbl val="0"/>
      </c:catAx>
      <c:valAx>
        <c:axId val="454486352"/>
        <c:scaling>
          <c:orientation val="minMax"/>
        </c:scaling>
        <c:delete val="1"/>
        <c:axPos val="l"/>
        <c:numFmt formatCode="_ * #,##0_ ;_ * \-#,##0_ ;_ * &quot;-&quot;??_ ;_ @_ " sourceLinked="1"/>
        <c:majorTickMark val="out"/>
        <c:minorTickMark val="none"/>
        <c:tickLblPos val="nextTo"/>
        <c:crossAx val="45448569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103464625823082"/>
          <c:y val="0"/>
          <c:w val="0.55182246797825596"/>
          <c:h val="1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26CE-4EDE-AA03-8E150DF7F12B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3-26CE-4EDE-AA03-8E150DF7F12B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1.0773263888888889</c:v>
                </c:pt>
                <c:pt idx="1">
                  <c:v>-7.7326388888888875E-2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CE-4EDE-AA03-8E150DF7F12B}"/>
            </c:ext>
          </c:extLst>
        </c:ser>
        <c:ser>
          <c:idx val="0"/>
          <c:order val="1"/>
          <c:explosion val="12"/>
          <c:dPt>
            <c:idx val="0"/>
            <c:bubble3D val="0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26CE-4EDE-AA03-8E150DF7F12B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26CE-4EDE-AA03-8E150DF7F12B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1.0773263888888889</c:v>
                </c:pt>
                <c:pt idx="1">
                  <c:v>-7.7326388888888875E-2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CE-4EDE-AA03-8E150DF7F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638965768684"/>
          <c:y val="0.19482101195056536"/>
          <c:w val="0.72986588672282582"/>
          <c:h val="0.75946053294850879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A787-4255-BE16-D61E87468C10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3-A787-4255-BE16-D61E87468C10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1.1392153409216002</c:v>
                </c:pt>
                <c:pt idx="1">
                  <c:v>-0.13921534092160015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87-4255-BE16-D61E87468C10}"/>
            </c:ext>
          </c:extLst>
        </c:ser>
        <c:ser>
          <c:idx val="0"/>
          <c:order val="1"/>
          <c:dPt>
            <c:idx val="0"/>
            <c:bubble3D val="0"/>
            <c:explosion val="16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A787-4255-BE16-D61E87468C10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A787-4255-BE16-D61E87468C10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1.1392153409216002</c:v>
                </c:pt>
                <c:pt idx="1">
                  <c:v>-0.13921534092160015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787-4255-BE16-D61E87468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8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8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4F81B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01B1A3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1-E6E5-4E55-B898-83A00D3E190C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E6E5-4E55-B898-83A00D3E190C}"/>
              </c:ext>
            </c:extLst>
          </c:dPt>
          <c:val>
            <c:numRef>
              <c:f>ChartsDataSheet!$CJU$3:$CJV$3</c:f>
              <c:numCache>
                <c:formatCode>General</c:formatCode>
                <c:ptCount val="2"/>
                <c:pt idx="0">
                  <c:v>-0.10697710289195124</c:v>
                </c:pt>
                <c:pt idx="1">
                  <c:v>1.1069771028919513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E5-4E55-B898-83A00D3E190C}"/>
            </c:ext>
          </c:extLst>
        </c:ser>
        <c:ser>
          <c:idx val="1"/>
          <c:order val="1"/>
          <c:spPr>
            <a:solidFill>
              <a:srgbClr val="C0504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FB5A56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6-E6E5-4E55-B898-83A00D3E190C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8-E6E5-4E55-B898-83A00D3E190C}"/>
              </c:ext>
            </c:extLst>
          </c:dPt>
          <c:val>
            <c:numRef>
              <c:f>ChartsDataSheet!$CJY$3:$CJZ$3</c:f>
              <c:numCache>
                <c:formatCode>General</c:formatCode>
                <c:ptCount val="2"/>
                <c:pt idx="0">
                  <c:v>0.75</c:v>
                </c:pt>
                <c:pt idx="1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6E5-4E55-B898-83A00D3E1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2"/>
      </c:doughnut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19050" cap="flat" cmpd="sng" algn="ctr">
      <a:solidFill>
        <a:sysClr val="windowText" lastClr="000000"/>
      </a:solidFill>
      <a:prstDash val="solid"/>
      <a:round/>
    </a:ln>
    <a:effectLst/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05700495189713E-2"/>
          <c:y val="3.6656264412303102E-2"/>
          <c:w val="0.75431949425657441"/>
          <c:h val="0.94844331888801525"/>
        </c:manualLayout>
      </c:layout>
      <c:barChart>
        <c:barDir val="col"/>
        <c:grouping val="clustered"/>
        <c:varyColors val="0"/>
        <c:ser>
          <c:idx val="0"/>
          <c:order val="0"/>
          <c:tx>
            <c:v>Plan</c:v>
          </c:tx>
          <c:spPr>
            <a:solidFill>
              <a:srgbClr val="BFBFB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6CB2-44DB-B54A-B323B2B79D02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6CB2-44DB-B54A-B323B2B79D02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6CB2-44DB-B54A-B323B2B79D02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6CB2-44DB-B54A-B323B2B79D02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6CB2-44DB-B54A-B323B2B79D02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B-6CB2-44DB-B54A-B323B2B79D02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D-6CB2-44DB-B54A-B323B2B79D02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F-6CB2-44DB-B54A-B323B2B79D02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1-6CB2-44DB-B54A-B323B2B79D02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3-6CB2-44DB-B54A-B323B2B79D02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5-6CB2-44DB-B54A-B323B2B79D02}"/>
              </c:ext>
            </c:extLst>
          </c:dPt>
          <c:dPt>
            <c:idx val="1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7-6CB2-44DB-B54A-B323B2B79D02}"/>
              </c:ext>
            </c:extLst>
          </c:dPt>
          <c:dLbls>
            <c:dLbl>
              <c:idx val="0"/>
              <c:layout>
                <c:manualLayout>
                  <c:x val="-5.3408414826874709E-2"/>
                  <c:y val="2.147383125824147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B2-44DB-B54A-B323B2B79D02}"/>
                </c:ext>
              </c:extLst>
            </c:dLbl>
            <c:dLbl>
              <c:idx val="1"/>
              <c:layout>
                <c:manualLayout>
                  <c:x val="-5.8956612943994589E-2"/>
                  <c:y val="8.656400826958976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B2-44DB-B54A-B323B2B79D02}"/>
                </c:ext>
              </c:extLst>
            </c:dLbl>
            <c:dLbl>
              <c:idx val="2"/>
              <c:layout>
                <c:manualLayout>
                  <c:x val="-5.4427316458232435E-2"/>
                  <c:y val="0.1459024505956662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CB2-44DB-B54A-B323B2B79D02}"/>
                </c:ext>
              </c:extLst>
            </c:dLbl>
            <c:dLbl>
              <c:idx val="3"/>
              <c:layout>
                <c:manualLayout>
                  <c:x val="-5.5096391171067766E-2"/>
                  <c:y val="0.1402665475420010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B2-44DB-B54A-B323B2B79D02}"/>
                </c:ext>
              </c:extLst>
            </c:dLbl>
            <c:dLbl>
              <c:idx val="4"/>
              <c:layout>
                <c:manualLayout>
                  <c:x val="-5.5435345137299162E-2"/>
                  <c:y val="0.227729805485654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CB2-44DB-B54A-B323B2B79D02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ChartsDataSheet!$BUH$92:$BUL$92</c:f>
              <c:numCache>
                <c:formatCode>General</c:formatCode>
                <c:ptCount val="5"/>
              </c:numCache>
            </c:numRef>
          </c:cat>
          <c:val>
            <c:numRef>
              <c:f>ChartsDataSheet!$BUH$93:$BUL$93</c:f>
              <c:numCache>
                <c:formatCode>_ * #,##0_ ;_ * \-#,##0_ ;_ * "-"??_ ;_ @_ </c:formatCode>
                <c:ptCount val="5"/>
                <c:pt idx="0">
                  <c:v>3878375</c:v>
                </c:pt>
                <c:pt idx="1">
                  <c:v>4213766.25</c:v>
                </c:pt>
                <c:pt idx="2">
                  <c:v>4436387.0750000002</c:v>
                </c:pt>
                <c:pt idx="3">
                  <c:v>5049956.3133333325</c:v>
                </c:pt>
                <c:pt idx="4">
                  <c:v>5450505.0679166652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CB2-44DB-B54A-B323B2B79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axId val="507339376"/>
        <c:axId val="507339048"/>
      </c:barChart>
      <c:scatterChart>
        <c:scatterStyle val="lineMarker"/>
        <c:varyColors val="0"/>
        <c:ser>
          <c:idx val="1"/>
          <c:order val="1"/>
          <c:tx>
            <c:v>Zero line</c:v>
          </c:tx>
          <c:spPr>
            <a:ln w="63500" cmpd="sng">
              <a:solidFill>
                <a:srgbClr val="808080"/>
              </a:solidFill>
            </a:ln>
          </c:spPr>
          <c:marker>
            <c:symbol val="none"/>
          </c:marker>
          <c:xVal>
            <c:numRef>
              <c:f>ChartsDataSheet!$BUH$115:$BUS$115</c:f>
              <c:numCache>
                <c:formatCode>General</c:formatCode>
                <c:ptCount val="12"/>
                <c:pt idx="0">
                  <c:v>0.77</c:v>
                </c:pt>
                <c:pt idx="1">
                  <c:v>2.2200000000000002</c:v>
                </c:pt>
                <c:pt idx="2">
                  <c:v>3.22</c:v>
                </c:pt>
                <c:pt idx="3">
                  <c:v>4.22</c:v>
                </c:pt>
                <c:pt idx="4">
                  <c:v>5.22</c:v>
                </c:pt>
                <c:pt idx="5">
                  <c:v>6.22</c:v>
                </c:pt>
                <c:pt idx="6">
                  <c:v>7.22</c:v>
                </c:pt>
                <c:pt idx="7">
                  <c:v>8.2200000000000006</c:v>
                </c:pt>
                <c:pt idx="8">
                  <c:v>9.2200000000000006</c:v>
                </c:pt>
                <c:pt idx="9">
                  <c:v>10.220000000000001</c:v>
                </c:pt>
                <c:pt idx="10">
                  <c:v>11.22</c:v>
                </c:pt>
                <c:pt idx="11">
                  <c:v>12.22</c:v>
                </c:pt>
              </c:numCache>
            </c:numRef>
          </c:xVal>
          <c:yVal>
            <c:numRef>
              <c:f>ChartsDataSheet!$BUH$116:$BUS$116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6CB2-44DB-B54A-B323B2B79D02}"/>
            </c:ext>
          </c:extLst>
        </c:ser>
        <c:ser>
          <c:idx val="2"/>
          <c:order val="2"/>
          <c:tx>
            <c:strRef>
              <c:f>ChartsDataSheet!$BUH$109</c:f>
              <c:strCache>
                <c:ptCount val="1"/>
                <c:pt idx="0">
                  <c:v>Actual 1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CB2-44DB-B54A-B323B2B79D02}"/>
                </c:ext>
              </c:extLst>
            </c:dLbl>
            <c:dLbl>
              <c:idx val="1"/>
              <c:layout>
                <c:manualLayout>
                  <c:x val="-1.3613943559616939E-2"/>
                  <c:y val="0.555403496662891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6CB2-44DB-B54A-B323B2B79D02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ChartsDataSheet!$BUH$110:$BUH$111</c:f>
              <c:numCache>
                <c:formatCode>General</c:formatCode>
                <c:ptCount val="2"/>
                <c:pt idx="0">
                  <c:v>0.75</c:v>
                </c:pt>
                <c:pt idx="1">
                  <c:v>0.75</c:v>
                </c:pt>
              </c:numCache>
            </c:numRef>
          </c:xVal>
          <c:yVal>
            <c:numRef>
              <c:f>ChartsDataSheet!$BUH$112:$BUH$113</c:f>
              <c:numCache>
                <c:formatCode>_ * #,##0_ ;_ * \-#,##0_ ;_ * "-"??_ ;_ @_ </c:formatCode>
                <c:ptCount val="2"/>
                <c:pt idx="0" formatCode="General">
                  <c:v>0</c:v>
                </c:pt>
                <c:pt idx="1">
                  <c:v>3880822.5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CB2-44DB-B54A-B323B2B79D02}"/>
            </c:ext>
          </c:extLst>
        </c:ser>
        <c:ser>
          <c:idx val="3"/>
          <c:order val="3"/>
          <c:tx>
            <c:strRef>
              <c:f>ChartsDataSheet!$BUI$109</c:f>
              <c:strCache>
                <c:ptCount val="1"/>
                <c:pt idx="0">
                  <c:v>Actual 2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6CB2-44DB-B54A-B323B2B79D02}"/>
                </c:ext>
              </c:extLst>
            </c:dLbl>
            <c:dLbl>
              <c:idx val="1"/>
              <c:layout>
                <c:manualLayout>
                  <c:x val="-9.3094100957954243E-3"/>
                  <c:y val="0.5372926722768769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6CB2-44DB-B54A-B323B2B79D02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ChartsDataSheet!$BUI$110:$BUI$111</c:f>
              <c:numCache>
                <c:formatCode>General</c:formatCode>
                <c:ptCount val="2"/>
                <c:pt idx="0">
                  <c:v>1.75</c:v>
                </c:pt>
                <c:pt idx="1">
                  <c:v>1.75</c:v>
                </c:pt>
              </c:numCache>
            </c:numRef>
          </c:xVal>
          <c:yVal>
            <c:numRef>
              <c:f>ChartsDataSheet!$BUI$112:$BUI$113</c:f>
              <c:numCache>
                <c:formatCode>_ * #,##0_ ;_ * \-#,##0_ ;_ * "-"??_ ;_ @_ </c:formatCode>
                <c:ptCount val="2"/>
                <c:pt idx="0" formatCode="General">
                  <c:v>0</c:v>
                </c:pt>
                <c:pt idx="1">
                  <c:v>3836197.5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CB2-44DB-B54A-B323B2B79D02}"/>
            </c:ext>
          </c:extLst>
        </c:ser>
        <c:ser>
          <c:idx val="4"/>
          <c:order val="4"/>
          <c:tx>
            <c:strRef>
              <c:f>ChartsDataSheet!$BUJ$109</c:f>
              <c:strCache>
                <c:ptCount val="1"/>
                <c:pt idx="0">
                  <c:v>Actual 3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CB2-44DB-B54A-B323B2B79D02}"/>
                </c:ext>
              </c:extLst>
            </c:dLbl>
            <c:dLbl>
              <c:idx val="1"/>
              <c:layout>
                <c:manualLayout>
                  <c:x val="-9.3131998315538252E-3"/>
                  <c:y val="0.5131566541225708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6CB2-44DB-B54A-B323B2B79D02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ChartsDataSheet!$BUJ$110:$BUJ$111</c:f>
              <c:numCache>
                <c:formatCode>General</c:formatCode>
                <c:ptCount val="2"/>
                <c:pt idx="0">
                  <c:v>2.75</c:v>
                </c:pt>
                <c:pt idx="1">
                  <c:v>2.75</c:v>
                </c:pt>
              </c:numCache>
            </c:numRef>
          </c:xVal>
          <c:yVal>
            <c:numRef>
              <c:f>ChartsDataSheet!$BUJ$112:$BUJ$113</c:f>
              <c:numCache>
                <c:formatCode>_ * #,##0_ ;_ * \-#,##0_ ;_ * "-"??_ ;_ @_ </c:formatCode>
                <c:ptCount val="2"/>
                <c:pt idx="0" formatCode="General">
                  <c:v>0</c:v>
                </c:pt>
                <c:pt idx="1">
                  <c:v>3695136.375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6CB2-44DB-B54A-B323B2B79D02}"/>
            </c:ext>
          </c:extLst>
        </c:ser>
        <c:ser>
          <c:idx val="5"/>
          <c:order val="5"/>
          <c:tx>
            <c:strRef>
              <c:f>ChartsDataSheet!$BUK$109</c:f>
              <c:strCache>
                <c:ptCount val="1"/>
                <c:pt idx="0">
                  <c:v>Actual 4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CB2-44DB-B54A-B323B2B79D02}"/>
                </c:ext>
              </c:extLst>
            </c:dLbl>
            <c:dLbl>
              <c:idx val="1"/>
              <c:layout>
                <c:manualLayout>
                  <c:x val="-1.3504495990914337E-2"/>
                  <c:y val="0.6095094071564508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6CB2-44DB-B54A-B323B2B79D02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ChartsDataSheet!$BUK$110:$BUK$111</c:f>
              <c:numCache>
                <c:formatCode>General</c:formatCode>
                <c:ptCount val="2"/>
                <c:pt idx="0">
                  <c:v>3.75</c:v>
                </c:pt>
                <c:pt idx="1">
                  <c:v>3.75</c:v>
                </c:pt>
              </c:numCache>
            </c:numRef>
          </c:xVal>
          <c:yVal>
            <c:numRef>
              <c:f>ChartsDataSheet!$BUK$112:$BUK$113</c:f>
              <c:numCache>
                <c:formatCode>_ * #,##0_ ;_ * \-#,##0_ ;_ * "-"??_ ;_ @_ </c:formatCode>
                <c:ptCount val="2"/>
                <c:pt idx="0" formatCode="General">
                  <c:v>0</c:v>
                </c:pt>
                <c:pt idx="1">
                  <c:v>4272841.6500000004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6CB2-44DB-B54A-B323B2B79D02}"/>
            </c:ext>
          </c:extLst>
        </c:ser>
        <c:ser>
          <c:idx val="6"/>
          <c:order val="6"/>
          <c:tx>
            <c:strRef>
              <c:f>ChartsDataSheet!$BUL$109</c:f>
              <c:strCache>
                <c:ptCount val="1"/>
                <c:pt idx="0">
                  <c:v>Actual 5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CB2-44DB-B54A-B323B2B79D02}"/>
                </c:ext>
              </c:extLst>
            </c:dLbl>
            <c:dLbl>
              <c:idx val="1"/>
              <c:layout>
                <c:manualLayout>
                  <c:x val="-1.6463824849934184E-2"/>
                  <c:y val="0.5918420963500068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6CB2-44DB-B54A-B323B2B79D02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ChartsDataSheet!$BUL$110:$BUL$111</c:f>
              <c:numCache>
                <c:formatCode>General</c:formatCode>
                <c:ptCount val="2"/>
                <c:pt idx="0">
                  <c:v>4.75</c:v>
                </c:pt>
                <c:pt idx="1">
                  <c:v>4.75</c:v>
                </c:pt>
              </c:numCache>
            </c:numRef>
          </c:xVal>
          <c:yVal>
            <c:numRef>
              <c:f>ChartsDataSheet!$BUL$112:$BUL$113</c:f>
              <c:numCache>
                <c:formatCode>_ * #,##0_ ;_ * \-#,##0_ ;_ * "-"??_ ;_ @_ </c:formatCode>
                <c:ptCount val="2"/>
                <c:pt idx="0" formatCode="General">
                  <c:v>0</c:v>
                </c:pt>
                <c:pt idx="1">
                  <c:v>4209841.6500000004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6CB2-44DB-B54A-B323B2B79D02}"/>
            </c:ext>
          </c:extLst>
        </c:ser>
        <c:ser>
          <c:idx val="14"/>
          <c:order val="7"/>
          <c:tx>
            <c:strRef>
              <c:f>ChartsDataSheet!$BUH$97</c:f>
              <c:strCache>
                <c:ptCount val="1"/>
                <c:pt idx="0">
                  <c:v>Green 1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ChartsDataSheet!$BUH$98:$BUH$99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ChartsDataSheet!$BUH$100:$BUH$101</c:f>
              <c:numCache>
                <c:formatCode>_ * #,##0_ ;_ * \-#,##0_ ;_ * "-"??_ ;_ @_ </c:formatCode>
                <c:ptCount val="2"/>
                <c:pt idx="0">
                  <c:v>3880822.5</c:v>
                </c:pt>
                <c:pt idx="1">
                  <c:v>3880822.5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6CB2-44DB-B54A-B323B2B79D02}"/>
            </c:ext>
          </c:extLst>
        </c:ser>
        <c:ser>
          <c:idx val="15"/>
          <c:order val="8"/>
          <c:tx>
            <c:strRef>
              <c:f>ChartsDataSheet!$BUI$97</c:f>
              <c:strCache>
                <c:ptCount val="1"/>
                <c:pt idx="0">
                  <c:v>Green 2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ChartsDataSheet!$BUI$98:$BUI$99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ChartsDataSheet!$BUI$100:$BUI$101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CB2-44DB-B54A-B323B2B79D02}"/>
            </c:ext>
          </c:extLst>
        </c:ser>
        <c:ser>
          <c:idx val="16"/>
          <c:order val="9"/>
          <c:tx>
            <c:strRef>
              <c:f>ChartsDataSheet!$BUJ$97</c:f>
              <c:strCache>
                <c:ptCount val="1"/>
                <c:pt idx="0">
                  <c:v>Green 3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ChartsDataSheet!$BUJ$98:$BUJ$99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ChartsDataSheet!$BUJ$100:$BUJ$101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6CB2-44DB-B54A-B323B2B79D02}"/>
            </c:ext>
          </c:extLst>
        </c:ser>
        <c:ser>
          <c:idx val="17"/>
          <c:order val="10"/>
          <c:tx>
            <c:strRef>
              <c:f>ChartsDataSheet!$BUK$97</c:f>
              <c:strCache>
                <c:ptCount val="1"/>
                <c:pt idx="0">
                  <c:v>Green 4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ChartsDataSheet!$BUK$98:$BUK$99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ChartsDataSheet!$BUK$100:$BUK$101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6CB2-44DB-B54A-B323B2B79D02}"/>
            </c:ext>
          </c:extLst>
        </c:ser>
        <c:ser>
          <c:idx val="18"/>
          <c:order val="11"/>
          <c:tx>
            <c:strRef>
              <c:f>ChartsDataSheet!$BUL$97</c:f>
              <c:strCache>
                <c:ptCount val="1"/>
                <c:pt idx="0">
                  <c:v>Green 5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ChartsDataSheet!$BUL$98:$BUL$99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ChartsDataSheet!$BUL$100:$BUL$101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6CB2-44DB-B54A-B323B2B79D02}"/>
            </c:ext>
          </c:extLst>
        </c:ser>
        <c:ser>
          <c:idx val="26"/>
          <c:order val="12"/>
          <c:tx>
            <c:strRef>
              <c:f>ChartsDataSheet!$BUH$103</c:f>
              <c:strCache>
                <c:ptCount val="1"/>
                <c:pt idx="0">
                  <c:v>Red 1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ChartsDataSheet!$BUH$104:$BUH$105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ChartsDataSheet!$BUH$106:$BUH$107</c:f>
              <c:numCache>
                <c:formatCode>_ * #,##0_ ;_ * \-#,##0_ ;_ * "-"??_ ;_ @_ </c:formatCode>
                <c:ptCount val="2"/>
                <c:pt idx="0">
                  <c:v>3880822.5</c:v>
                </c:pt>
                <c:pt idx="1">
                  <c:v>3878375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CB2-44DB-B54A-B323B2B79D02}"/>
            </c:ext>
          </c:extLst>
        </c:ser>
        <c:ser>
          <c:idx val="27"/>
          <c:order val="13"/>
          <c:tx>
            <c:strRef>
              <c:f>ChartsDataSheet!$BUI$103</c:f>
              <c:strCache>
                <c:ptCount val="1"/>
                <c:pt idx="0">
                  <c:v>Red 2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ChartsDataSheet!$BUI$104:$BUI$105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ChartsDataSheet!$BUI$106:$BUI$107</c:f>
              <c:numCache>
                <c:formatCode>_ * #,##0_ ;_ * \-#,##0_ ;_ * "-"??_ ;_ @_ </c:formatCode>
                <c:ptCount val="2"/>
                <c:pt idx="0">
                  <c:v>4213766.25</c:v>
                </c:pt>
                <c:pt idx="1">
                  <c:v>3836197.5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6CB2-44DB-B54A-B323B2B79D02}"/>
            </c:ext>
          </c:extLst>
        </c:ser>
        <c:ser>
          <c:idx val="28"/>
          <c:order val="14"/>
          <c:tx>
            <c:strRef>
              <c:f>ChartsDataSheet!$BUJ$103</c:f>
              <c:strCache>
                <c:ptCount val="1"/>
                <c:pt idx="0">
                  <c:v>Red 3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ChartsDataSheet!$BUJ$104:$BUJ$105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ChartsDataSheet!$BUJ$106:$BUJ$107</c:f>
              <c:numCache>
                <c:formatCode>_ * #,##0_ ;_ * \-#,##0_ ;_ * "-"??_ ;_ @_ </c:formatCode>
                <c:ptCount val="2"/>
                <c:pt idx="0">
                  <c:v>4436387.0750000002</c:v>
                </c:pt>
                <c:pt idx="1">
                  <c:v>3695136.375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6CB2-44DB-B54A-B323B2B79D02}"/>
            </c:ext>
          </c:extLst>
        </c:ser>
        <c:ser>
          <c:idx val="29"/>
          <c:order val="15"/>
          <c:tx>
            <c:strRef>
              <c:f>ChartsDataSheet!$BUK$103</c:f>
              <c:strCache>
                <c:ptCount val="1"/>
                <c:pt idx="0">
                  <c:v>Red 4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ChartsDataSheet!$BUK$104:$BUK$105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ChartsDataSheet!$BUK$106:$BUK$107</c:f>
              <c:numCache>
                <c:formatCode>_ * #,##0_ ;_ * \-#,##0_ ;_ * "-"??_ ;_ @_ </c:formatCode>
                <c:ptCount val="2"/>
                <c:pt idx="0">
                  <c:v>5049956.3133333325</c:v>
                </c:pt>
                <c:pt idx="1">
                  <c:v>4272841.6500000004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CB2-44DB-B54A-B323B2B79D02}"/>
            </c:ext>
          </c:extLst>
        </c:ser>
        <c:ser>
          <c:idx val="30"/>
          <c:order val="16"/>
          <c:tx>
            <c:strRef>
              <c:f>ChartsDataSheet!$BUL$103</c:f>
              <c:strCache>
                <c:ptCount val="1"/>
                <c:pt idx="0">
                  <c:v>Red 5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ChartsDataSheet!$BUL$104:$BUL$105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ChartsDataSheet!$BUL$106:$BUL$107</c:f>
              <c:numCache>
                <c:formatCode>_ * #,##0_ ;_ * \-#,##0_ ;_ * "-"??_ ;_ @_ </c:formatCode>
                <c:ptCount val="2"/>
                <c:pt idx="0">
                  <c:v>5450505.0679166652</c:v>
                </c:pt>
                <c:pt idx="1">
                  <c:v>4209841.6500000004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CB2-44DB-B54A-B323B2B79D02}"/>
            </c:ext>
          </c:extLst>
        </c:ser>
        <c:ser>
          <c:idx val="38"/>
          <c:order val="17"/>
          <c:tx>
            <c:strRef>
              <c:f>ChartsDataSheet!$BUH$118</c:f>
              <c:strCache>
                <c:ptCount val="1"/>
                <c:pt idx="0">
                  <c:v>Var 1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4.2827064927729995E-2"/>
                  <c:y val="-0.1078564301491558"/>
                </c:manualLayout>
              </c:layout>
              <c:tx>
                <c:strRef>
                  <c:f>ChartsDataSheet!$BUH$121</c:f>
                  <c:strCache>
                    <c:ptCount val="1"/>
                    <c:pt idx="0">
                      <c:v>-2,448 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{F499F64D-82E7-4DC1-86B3-6860C77CE990}</c15:txfldGUID>
                      <c15:f>ChartsDataSheet!$BUH$121</c15:f>
                      <c15:dlblFieldTableCache>
                        <c:ptCount val="1"/>
                        <c:pt idx="0">
                          <c:v>-2,448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2E-6CB2-44DB-B54A-B323B2B79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ChartsDataSheet!$BUH$119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ChartsDataSheet!$BUH$120</c:f>
              <c:numCache>
                <c:formatCode>"+"#,##0;"-"#,##0</c:formatCode>
                <c:ptCount val="1"/>
                <c:pt idx="0">
                  <c:v>3880822.5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CB2-44DB-B54A-B323B2B79D02}"/>
            </c:ext>
          </c:extLst>
        </c:ser>
        <c:ser>
          <c:idx val="39"/>
          <c:order val="18"/>
          <c:tx>
            <c:strRef>
              <c:f>ChartsDataSheet!$BUI$118</c:f>
              <c:strCache>
                <c:ptCount val="1"/>
                <c:pt idx="0">
                  <c:v>Var 2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ChartsDataSheet!$BUI$121</c:f>
                  <c:strCache>
                    <c:ptCount val="1"/>
                    <c:pt idx="0">
                      <c:v>+3,77,569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{6032B359-8E8E-4C7D-B1BD-B1F374A74245}</c15:txfldGUID>
                      <c15:f>ChartsDataSheet!$BUI$121</c15:f>
                      <c15:dlblFieldTableCache>
                        <c:ptCount val="1"/>
                        <c:pt idx="0">
                          <c:v>+3,77,569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0-6CB2-44DB-B54A-B323B2B79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ChartsDataSheet!$BUI$120</c:f>
              <c:numCache>
                <c:formatCode>"+"#,##0;"-"#,##0</c:formatCode>
                <c:ptCount val="1"/>
                <c:pt idx="0">
                  <c:v>4213766.25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CB2-44DB-B54A-B323B2B79D02}"/>
            </c:ext>
          </c:extLst>
        </c:ser>
        <c:ser>
          <c:idx val="40"/>
          <c:order val="19"/>
          <c:tx>
            <c:strRef>
              <c:f>ChartsDataSheet!$BUJ$118</c:f>
              <c:strCache>
                <c:ptCount val="1"/>
                <c:pt idx="0">
                  <c:v>Var 3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ChartsDataSheet!$BUJ$121</c:f>
                  <c:strCache>
                    <c:ptCount val="1"/>
                    <c:pt idx="0">
                      <c:v>+7,41,251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{6CE50A29-1422-4270-8BC5-FC6FD44BDD03}</c15:txfldGUID>
                      <c15:f>ChartsDataSheet!$BUJ$121</c15:f>
                      <c15:dlblFieldTableCache>
                        <c:ptCount val="1"/>
                        <c:pt idx="0">
                          <c:v>+7,41,251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2-6CB2-44DB-B54A-B323B2B79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Ctr="0"/>
              <a:lstStyle/>
              <a:p>
                <a:pPr algn="ctr">
                  <a:defRPr lang="en-US" sz="1100" b="1" i="0" u="none" strike="noStrike" kern="1200" baseline="0">
                    <a:solidFill>
                      <a:srgbClr val="00B05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ChartsDataSheet!$BUJ$120</c:f>
              <c:numCache>
                <c:formatCode>"+"#,##0;"-"#,##0</c:formatCode>
                <c:ptCount val="1"/>
                <c:pt idx="0">
                  <c:v>4436387.0750000002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CB2-44DB-B54A-B323B2B79D02}"/>
            </c:ext>
          </c:extLst>
        </c:ser>
        <c:ser>
          <c:idx val="41"/>
          <c:order val="20"/>
          <c:tx>
            <c:strRef>
              <c:f>ChartsDataSheet!$BUK$118</c:f>
              <c:strCache>
                <c:ptCount val="1"/>
                <c:pt idx="0">
                  <c:v>Var 4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ChartsDataSheet!$BUK$121</c:f>
                  <c:strCache>
                    <c:ptCount val="1"/>
                    <c:pt idx="0">
                      <c:v>+7,77,115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{1F75318E-16FB-4065-9063-7EDFBB37835A}</c15:txfldGUID>
                      <c15:f>ChartsDataSheet!$BUK$121</c15:f>
                      <c15:dlblFieldTableCache>
                        <c:ptCount val="1"/>
                        <c:pt idx="0">
                          <c:v>+7,77,115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4-6CB2-44DB-B54A-B323B2B79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Ctr="0"/>
              <a:lstStyle/>
              <a:p>
                <a:pPr algn="ctr">
                  <a:defRPr lang="en-US" sz="1100" b="1" i="0" u="none" strike="noStrike" kern="1200" baseline="0">
                    <a:solidFill>
                      <a:srgbClr val="00B05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ChartsDataSheet!$BUK$119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ChartsDataSheet!$BUK$120</c:f>
              <c:numCache>
                <c:formatCode>"+"#,##0;"-"#,##0</c:formatCode>
                <c:ptCount val="1"/>
                <c:pt idx="0">
                  <c:v>5049956.3133333325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CB2-44DB-B54A-B323B2B79D02}"/>
            </c:ext>
          </c:extLst>
        </c:ser>
        <c:ser>
          <c:idx val="42"/>
          <c:order val="21"/>
          <c:tx>
            <c:strRef>
              <c:f>ChartsDataSheet!$BUL$118</c:f>
              <c:strCache>
                <c:ptCount val="1"/>
                <c:pt idx="0">
                  <c:v>Var 5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ChartsDataSheet!$BUL$121</c:f>
                  <c:strCache>
                    <c:ptCount val="1"/>
                    <c:pt idx="0">
                      <c:v>+12,40,663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{876FEE66-1135-4FC6-93B4-F2133EA5EDCC}</c15:txfldGUID>
                      <c15:f>ChartsDataSheet!$BUL$121</c15:f>
                      <c15:dlblFieldTableCache>
                        <c:ptCount val="1"/>
                        <c:pt idx="0">
                          <c:v>+12,40,663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6-6CB2-44DB-B54A-B323B2B79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Ctr="0"/>
              <a:lstStyle/>
              <a:p>
                <a:pPr algn="ctr">
                  <a:defRPr lang="en-US" sz="1100" b="1" i="0" u="none" strike="noStrike" kern="1200" baseline="0">
                    <a:solidFill>
                      <a:srgbClr val="00B05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ChartsDataSheet!$BUL$120</c:f>
              <c:numCache>
                <c:formatCode>"+"#,##0;"-"#,##0</c:formatCode>
                <c:ptCount val="1"/>
                <c:pt idx="0">
                  <c:v>5450505.0679166652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CB2-44DB-B54A-B323B2B79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339376"/>
        <c:axId val="507339048"/>
      </c:scatterChart>
      <c:catAx>
        <c:axId val="50733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7339048"/>
        <c:crosses val="autoZero"/>
        <c:auto val="1"/>
        <c:lblAlgn val="ctr"/>
        <c:lblOffset val="0"/>
        <c:noMultiLvlLbl val="0"/>
      </c:catAx>
      <c:valAx>
        <c:axId val="507339048"/>
        <c:scaling>
          <c:orientation val="minMax"/>
        </c:scaling>
        <c:delete val="1"/>
        <c:axPos val="l"/>
        <c:numFmt formatCode="_ * #,##0_ ;_ * \-#,##0_ ;_ * &quot;-&quot;??_ ;_ @_ " sourceLinked="1"/>
        <c:majorTickMark val="out"/>
        <c:minorTickMark val="none"/>
        <c:tickLblPos val="nextTo"/>
        <c:crossAx val="507339376"/>
        <c:crosses val="autoZero"/>
        <c:crossBetween val="between"/>
      </c:valAx>
      <c:spPr>
        <a:noFill/>
        <a:ln w="57150"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1100" b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8859274098778972E-2"/>
          <c:y val="5.505631350491566E-2"/>
          <c:w val="0.95114072590122101"/>
          <c:h val="0.94494368649508431"/>
        </c:manualLayout>
      </c:layout>
      <c:barChart>
        <c:barDir val="col"/>
        <c:grouping val="clustered"/>
        <c:varyColors val="0"/>
        <c:ser>
          <c:idx val="0"/>
          <c:order val="0"/>
          <c:tx>
            <c:v>Start - End</c:v>
          </c:tx>
          <c:spPr>
            <a:solidFill>
              <a:srgbClr val="BFBFBF"/>
            </a:solidFill>
            <a:ln>
              <a:solidFill>
                <a:srgbClr val="80808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 i="0" baseline="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Statement!$C$4:$C$10</c:f>
              <c:strCache>
                <c:ptCount val="7"/>
                <c:pt idx="0">
                  <c:v>Total Income</c:v>
                </c:pt>
                <c:pt idx="1">
                  <c:v>Cost of Goods Sold</c:v>
                </c:pt>
                <c:pt idx="2">
                  <c:v>Gross Profit </c:v>
                </c:pt>
                <c:pt idx="3">
                  <c:v>Total Operating Expenses  </c:v>
                </c:pt>
                <c:pt idx="4">
                  <c:v>Profit Before Tax (PBT)</c:v>
                </c:pt>
                <c:pt idx="5">
                  <c:v>Taxes    </c:v>
                </c:pt>
                <c:pt idx="6">
                  <c:v>Net Profit   </c:v>
                </c:pt>
              </c:strCache>
            </c:strRef>
          </c:cat>
          <c:val>
            <c:numRef>
              <c:f>ChartsDataSheet!$BYG$2:$BYG$8</c:f>
              <c:numCache>
                <c:formatCode>_ * #,##0_ ;_ * \-#,##0_ ;_ * "-"??_ ;_ @_ </c:formatCode>
                <c:ptCount val="7"/>
                <c:pt idx="0">
                  <c:v>3878375</c:v>
                </c:pt>
                <c:pt idx="6">
                  <c:v>-77447.5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48-4878-9FAE-E4A44F43A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54485696"/>
        <c:axId val="454486352"/>
      </c:barChart>
      <c:lineChart>
        <c:grouping val="standard"/>
        <c:varyColors val="0"/>
        <c:ser>
          <c:idx val="1"/>
          <c:order val="1"/>
          <c:tx>
            <c:v>Before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ChartsDataSheet!$BYH$2:$BYH$8</c:f>
              <c:numCache>
                <c:formatCode>_ * #,##0_ ;_ * \-#,##0_ ;_ * "-"??_ ;_ @_ </c:formatCode>
                <c:ptCount val="7"/>
                <c:pt idx="1">
                  <c:v>3878375</c:v>
                </c:pt>
                <c:pt idx="2">
                  <c:v>1476625</c:v>
                </c:pt>
                <c:pt idx="3">
                  <c:v>1476625</c:v>
                </c:pt>
                <c:pt idx="4">
                  <c:v>-77447.5</c:v>
                </c:pt>
                <c:pt idx="5">
                  <c:v>-77447.5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48-4878-9FAE-E4A44F43A403}"/>
            </c:ext>
          </c:extLst>
        </c:ser>
        <c:ser>
          <c:idx val="2"/>
          <c:order val="2"/>
          <c:tx>
            <c:v>After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9BBB59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ChartsDataSheet!$BYI$2:$BYI$8</c:f>
              <c:numCache>
                <c:formatCode>_ * #,##0_ ;_ * \-#,##0_ ;_ * "-"??_ ;_ @_ </c:formatCode>
                <c:ptCount val="7"/>
                <c:pt idx="1">
                  <c:v>1476625</c:v>
                </c:pt>
                <c:pt idx="2">
                  <c:v>1476625</c:v>
                </c:pt>
                <c:pt idx="3">
                  <c:v>-77447.5</c:v>
                </c:pt>
                <c:pt idx="4">
                  <c:v>-77447.5</c:v>
                </c:pt>
                <c:pt idx="5">
                  <c:v>-77447.5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48-4878-9FAE-E4A44F43A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75"/>
          <c:upBars>
            <c:spPr>
              <a:solidFill>
                <a:srgbClr val="01B1A3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upBars>
          <c:downBars>
            <c:spPr>
              <a:solidFill>
                <a:srgbClr val="FB5A56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downBars>
        </c:upDownBars>
        <c:marker val="1"/>
        <c:smooth val="0"/>
        <c:axId val="454485696"/>
        <c:axId val="454486352"/>
      </c:lineChart>
      <c:scatterChart>
        <c:scatterStyle val="lineMarker"/>
        <c:varyColors val="0"/>
        <c:ser>
          <c:idx val="3"/>
          <c:order val="3"/>
          <c:tx>
            <c:v>Data label position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248-4878-9FAE-E4A44F43A4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E7FC8A-AF74-44A1-A4C8-2E006F18AD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48-4878-9FAE-E4A44F43A4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26EBCF-3527-45D9-BEDC-C2030CAC6D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48-4878-9FAE-E4A44F43A4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3CB086-6B3A-4E0F-A0B1-4E50BC4BBA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48-4878-9FAE-E4A44F43A4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66CCEB-D2BE-4D61-9E38-41B86E7127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48-4878-9FAE-E4A44F43A4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B12D967-9941-4CDC-B666-7B5FE0A2A9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48-4878-9FAE-E4A44F43A4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248-4878-9FAE-E4A44F43A40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yVal>
            <c:numRef>
              <c:f>ChartsDataSheet!$BYJ$2:$BYJ$8</c:f>
              <c:numCache>
                <c:formatCode>_ * #,##0_ ;_ * \-#,##0_ ;_ * "-"??_ ;_ @_ </c:formatCode>
                <c:ptCount val="7"/>
                <c:pt idx="1">
                  <c:v>3878375</c:v>
                </c:pt>
                <c:pt idx="2">
                  <c:v>1476625</c:v>
                </c:pt>
                <c:pt idx="3">
                  <c:v>1476625</c:v>
                </c:pt>
                <c:pt idx="4">
                  <c:v>-77447.5</c:v>
                </c:pt>
                <c:pt idx="5">
                  <c:v>-77447.5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ChartsDataSheet!$BYE$2:$BYE$8</c15:f>
                <c15:dlblRangeCache>
                  <c:ptCount val="7"/>
                  <c:pt idx="0">
                    <c:v>+38,78,375.0</c:v>
                  </c:pt>
                  <c:pt idx="1">
                    <c:v>-24,01,750</c:v>
                  </c:pt>
                  <c:pt idx="2">
                    <c:v>+14,76,625</c:v>
                  </c:pt>
                  <c:pt idx="3">
                    <c:v>-15,54,073</c:v>
                  </c:pt>
                  <c:pt idx="4">
                    <c:v>-77,448</c:v>
                  </c:pt>
                  <c:pt idx="5">
                    <c:v>+0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1248-4878-9FAE-E4A44F43A403}"/>
            </c:ext>
          </c:extLst>
        </c:ser>
        <c:ser>
          <c:idx val="4"/>
          <c:order val="4"/>
          <c:tx>
            <c:v>Cumulative</c:v>
          </c:tx>
          <c:spPr>
            <a:ln w="28575">
              <a:noFill/>
            </a:ln>
          </c:spPr>
          <c:marker>
            <c:symbol val="none"/>
          </c:marker>
          <c:errBars>
            <c:errDir val="x"/>
            <c:errBarType val="plus"/>
            <c:errValType val="fixedVal"/>
            <c:noEndCap val="1"/>
            <c:val val="1"/>
            <c:spPr>
              <a:ln>
                <a:solidFill>
                  <a:srgbClr val="808080"/>
                </a:solidFill>
              </a:ln>
            </c:spPr>
          </c:errBars>
          <c:yVal>
            <c:numRef>
              <c:f>ChartsDataSheet!$BYF$2:$BYF$8</c:f>
              <c:numCache>
                <c:formatCode>_ * #,##0_ ;_ * \-#,##0_ ;_ * "-"??_ ;_ @_ </c:formatCode>
                <c:ptCount val="7"/>
                <c:pt idx="0">
                  <c:v>3878375</c:v>
                </c:pt>
                <c:pt idx="1">
                  <c:v>1476625</c:v>
                </c:pt>
                <c:pt idx="2">
                  <c:v>1476625</c:v>
                </c:pt>
                <c:pt idx="3">
                  <c:v>-77447.5</c:v>
                </c:pt>
                <c:pt idx="4">
                  <c:v>-77447.5</c:v>
                </c:pt>
                <c:pt idx="5">
                  <c:v>-77447.5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248-4878-9FAE-E4A44F43A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485696"/>
        <c:axId val="454486352"/>
      </c:scatterChart>
      <c:catAx>
        <c:axId val="45448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454486352"/>
        <c:crosses val="autoZero"/>
        <c:auto val="1"/>
        <c:lblAlgn val="ctr"/>
        <c:lblOffset val="0"/>
        <c:noMultiLvlLbl val="0"/>
      </c:catAx>
      <c:valAx>
        <c:axId val="454486352"/>
        <c:scaling>
          <c:orientation val="minMax"/>
        </c:scaling>
        <c:delete val="1"/>
        <c:axPos val="l"/>
        <c:numFmt formatCode="_ * #,##0_ ;_ * \-#,##0_ ;_ * &quot;-&quot;??_ ;_ @_ " sourceLinked="1"/>
        <c:majorTickMark val="out"/>
        <c:minorTickMark val="none"/>
        <c:tickLblPos val="nextTo"/>
        <c:crossAx val="45448569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8-851E-4A76-80C3-8280BB0221F6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9-851E-4A76-80C3-8280BB0221F6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1.0773263888888889</c:v>
                </c:pt>
                <c:pt idx="1">
                  <c:v>-7.7326388888888875E-2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1E-4A76-80C3-8280BB0221F6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1E-4A76-80C3-8280BB0221F6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1E-4A76-80C3-8280BB0221F6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1.0773263888888889</c:v>
                </c:pt>
                <c:pt idx="1">
                  <c:v>-7.7326388888888875E-2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1E-4A76-80C3-8280BB022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BB62-4CAB-905B-A6D6C3463D81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3-BB62-4CAB-905B-A6D6C3463D81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1.1392153409216002</c:v>
                </c:pt>
                <c:pt idx="1">
                  <c:v>-0.13921534092160015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62-4CAB-905B-A6D6C3463D81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BB62-4CAB-905B-A6D6C3463D81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BB62-4CAB-905B-A6D6C3463D81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1.1392153409216002</c:v>
                </c:pt>
                <c:pt idx="1">
                  <c:v>-0.13921534092160015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B62-4CAB-905B-A6D6C3463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4F81B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01B1A3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2-60DB-487D-A664-CC0B54562766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60DB-487D-A664-CC0B54562766}"/>
              </c:ext>
            </c:extLst>
          </c:dPt>
          <c:dLbls>
            <c:dLbl>
              <c:idx val="0"/>
              <c:layout>
                <c:manualLayout>
                  <c:x val="-0.17612031733241465"/>
                  <c:y val="-0.22018756721563967"/>
                </c:manualLayout>
              </c:layout>
              <c:tx>
                <c:strRef>
                  <c:f>calc!$G$19</c:f>
                  <c:strCache>
                    <c:ptCount val="1"/>
                    <c:pt idx="0">
                      <c:v>-2.0%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600" b="1">
                      <a:latin typeface="Segoe UI" panose="020B0502040204020203" pitchFamily="34" charset="0"/>
                      <a:cs typeface="Segoe UI" panose="020B0502040204020203" pitchFamily="34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770938314424566"/>
                      <c:h val="0.2248218882587539"/>
                    </c:manualLayout>
                  </c15:layout>
                  <c15:dlblFieldTable>
                    <c15:dlblFTEntry>
                      <c15:txfldGUID>{F6B3AFD6-D494-4ACE-AFA6-8E5F7BD2FCF5}</c15:txfldGUID>
                      <c15:f>calc!$G$19</c15:f>
                      <c15:dlblFieldTableCache>
                        <c:ptCount val="1"/>
                        <c:pt idx="0">
                          <c:v>-2.0%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60DB-487D-A664-CC0B5456276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DB-487D-A664-CC0B545627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ChartsDataSheet!$CJU$3:$CJV$3</c:f>
              <c:numCache>
                <c:formatCode>General</c:formatCode>
                <c:ptCount val="2"/>
                <c:pt idx="0">
                  <c:v>-0.10697710289195124</c:v>
                </c:pt>
                <c:pt idx="1">
                  <c:v>1.1069771028919513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DB-487D-A664-CC0B54562766}"/>
            </c:ext>
          </c:extLst>
        </c:ser>
        <c:ser>
          <c:idx val="1"/>
          <c:order val="1"/>
          <c:spPr>
            <a:solidFill>
              <a:srgbClr val="C0504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FB5A56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5-60DB-487D-A664-CC0B54562766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6-60DB-487D-A664-CC0B54562766}"/>
              </c:ext>
            </c:extLst>
          </c:dPt>
          <c:val>
            <c:numRef>
              <c:f>ChartsDataSheet!$CJY$3:$CJZ$3</c:f>
              <c:numCache>
                <c:formatCode>General</c:formatCode>
                <c:ptCount val="2"/>
                <c:pt idx="0">
                  <c:v>0.75</c:v>
                </c:pt>
                <c:pt idx="1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DB-487D-A664-CC0B54562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2"/>
      </c:doughnut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2705644053027623E-2"/>
          <c:y val="3.6656487516065095E-2"/>
          <c:w val="0.96729435594697233"/>
          <c:h val="0.96334351248393491"/>
        </c:manualLayout>
      </c:layout>
      <c:barChart>
        <c:barDir val="col"/>
        <c:grouping val="clustered"/>
        <c:varyColors val="0"/>
        <c:ser>
          <c:idx val="0"/>
          <c:order val="0"/>
          <c:tx>
            <c:v>Plan</c:v>
          </c:tx>
          <c:spPr>
            <a:solidFill>
              <a:srgbClr val="BFBFB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B-C2DE-401B-B3B3-A60054A89C99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C-C2DE-401B-B3B3-A60054A89C9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D-C2DE-401B-B3B3-A60054A89C99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E-C2DE-401B-B3B3-A60054A89C99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F-C2DE-401B-B3B3-A60054A89C99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0-C2DE-401B-B3B3-A60054A89C99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1-C2DE-401B-B3B3-A60054A89C99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2-C2DE-401B-B3B3-A60054A89C99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3-C2DE-401B-B3B3-A60054A89C99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4-C2DE-401B-B3B3-A60054A89C99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5-C2DE-401B-B3B3-A60054A89C99}"/>
              </c:ext>
            </c:extLst>
          </c:dPt>
          <c:dPt>
            <c:idx val="1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6-C2DE-401B-B3B3-A60054A89C9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ChartsDataSheet!$BUH$92:$BUL$92</c:f>
              <c:numCache>
                <c:formatCode>General</c:formatCode>
                <c:ptCount val="5"/>
              </c:numCache>
            </c:numRef>
          </c:cat>
          <c:val>
            <c:numRef>
              <c:f>ChartsDataSheet!$BUH$93:$BUL$93</c:f>
              <c:numCache>
                <c:formatCode>_ * #,##0_ ;_ * \-#,##0_ ;_ * "-"??_ ;_ @_ </c:formatCode>
                <c:ptCount val="5"/>
                <c:pt idx="0">
                  <c:v>3878375</c:v>
                </c:pt>
                <c:pt idx="1">
                  <c:v>4213766.25</c:v>
                </c:pt>
                <c:pt idx="2">
                  <c:v>4436387.0750000002</c:v>
                </c:pt>
                <c:pt idx="3">
                  <c:v>5049956.3133333325</c:v>
                </c:pt>
                <c:pt idx="4">
                  <c:v>5450505.0679166652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E-401B-B3B3-A60054A89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339376"/>
        <c:axId val="507339048"/>
      </c:barChart>
      <c:scatterChart>
        <c:scatterStyle val="lineMarker"/>
        <c:varyColors val="0"/>
        <c:ser>
          <c:idx val="1"/>
          <c:order val="1"/>
          <c:tx>
            <c:v>Zero line</c:v>
          </c:tx>
          <c:spPr>
            <a:ln w="63500" cmpd="sng">
              <a:solidFill>
                <a:srgbClr val="808080"/>
              </a:solidFill>
            </a:ln>
          </c:spPr>
          <c:marker>
            <c:symbol val="none"/>
          </c:marker>
          <c:xVal>
            <c:numRef>
              <c:f>ChartsDataSheet!$BUH$115:$BUS$115</c:f>
              <c:numCache>
                <c:formatCode>General</c:formatCode>
                <c:ptCount val="12"/>
                <c:pt idx="0">
                  <c:v>0.77</c:v>
                </c:pt>
                <c:pt idx="1">
                  <c:v>2.2200000000000002</c:v>
                </c:pt>
                <c:pt idx="2">
                  <c:v>3.22</c:v>
                </c:pt>
                <c:pt idx="3">
                  <c:v>4.22</c:v>
                </c:pt>
                <c:pt idx="4">
                  <c:v>5.22</c:v>
                </c:pt>
                <c:pt idx="5">
                  <c:v>6.22</c:v>
                </c:pt>
                <c:pt idx="6">
                  <c:v>7.22</c:v>
                </c:pt>
                <c:pt idx="7">
                  <c:v>8.2200000000000006</c:v>
                </c:pt>
                <c:pt idx="8">
                  <c:v>9.2200000000000006</c:v>
                </c:pt>
                <c:pt idx="9">
                  <c:v>10.220000000000001</c:v>
                </c:pt>
                <c:pt idx="10">
                  <c:v>11.22</c:v>
                </c:pt>
                <c:pt idx="11">
                  <c:v>12.22</c:v>
                </c:pt>
              </c:numCache>
            </c:numRef>
          </c:xVal>
          <c:yVal>
            <c:numRef>
              <c:f>ChartsDataSheet!$BUH$116:$BUS$116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DE-401B-B3B3-A60054A89C99}"/>
            </c:ext>
          </c:extLst>
        </c:ser>
        <c:ser>
          <c:idx val="2"/>
          <c:order val="2"/>
          <c:tx>
            <c:strRef>
              <c:f>ChartsDataSheet!$BUH$109</c:f>
              <c:strCache>
                <c:ptCount val="1"/>
                <c:pt idx="0">
                  <c:v>Actual 1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ChartsDataSheet!$BUH$110:$BUH$111</c:f>
              <c:numCache>
                <c:formatCode>General</c:formatCode>
                <c:ptCount val="2"/>
                <c:pt idx="0">
                  <c:v>0.75</c:v>
                </c:pt>
                <c:pt idx="1">
                  <c:v>0.75</c:v>
                </c:pt>
              </c:numCache>
            </c:numRef>
          </c:xVal>
          <c:yVal>
            <c:numRef>
              <c:f>ChartsDataSheet!$BUH$112:$BUH$113</c:f>
              <c:numCache>
                <c:formatCode>_ * #,##0_ ;_ * \-#,##0_ ;_ * "-"??_ ;_ @_ </c:formatCode>
                <c:ptCount val="2"/>
                <c:pt idx="0" formatCode="General">
                  <c:v>0</c:v>
                </c:pt>
                <c:pt idx="1">
                  <c:v>3880822.5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DE-401B-B3B3-A60054A89C99}"/>
            </c:ext>
          </c:extLst>
        </c:ser>
        <c:ser>
          <c:idx val="3"/>
          <c:order val="3"/>
          <c:tx>
            <c:strRef>
              <c:f>ChartsDataSheet!$BUI$109</c:f>
              <c:strCache>
                <c:ptCount val="1"/>
                <c:pt idx="0">
                  <c:v>Actual 2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ChartsDataSheet!$BUI$110:$BUI$111</c:f>
              <c:numCache>
                <c:formatCode>General</c:formatCode>
                <c:ptCount val="2"/>
                <c:pt idx="0">
                  <c:v>1.75</c:v>
                </c:pt>
                <c:pt idx="1">
                  <c:v>1.75</c:v>
                </c:pt>
              </c:numCache>
            </c:numRef>
          </c:xVal>
          <c:yVal>
            <c:numRef>
              <c:f>ChartsDataSheet!$BUI$112:$BUI$113</c:f>
              <c:numCache>
                <c:formatCode>_ * #,##0_ ;_ * \-#,##0_ ;_ * "-"??_ ;_ @_ </c:formatCode>
                <c:ptCount val="2"/>
                <c:pt idx="0" formatCode="General">
                  <c:v>0</c:v>
                </c:pt>
                <c:pt idx="1">
                  <c:v>3836197.5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DE-401B-B3B3-A60054A89C99}"/>
            </c:ext>
          </c:extLst>
        </c:ser>
        <c:ser>
          <c:idx val="4"/>
          <c:order val="4"/>
          <c:tx>
            <c:strRef>
              <c:f>ChartsDataSheet!$BUJ$109</c:f>
              <c:strCache>
                <c:ptCount val="1"/>
                <c:pt idx="0">
                  <c:v>Actual 3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ChartsDataSheet!$BUJ$110:$BUJ$111</c:f>
              <c:numCache>
                <c:formatCode>General</c:formatCode>
                <c:ptCount val="2"/>
                <c:pt idx="0">
                  <c:v>2.75</c:v>
                </c:pt>
                <c:pt idx="1">
                  <c:v>2.75</c:v>
                </c:pt>
              </c:numCache>
            </c:numRef>
          </c:xVal>
          <c:yVal>
            <c:numRef>
              <c:f>ChartsDataSheet!$BUJ$112:$BUJ$113</c:f>
              <c:numCache>
                <c:formatCode>_ * #,##0_ ;_ * \-#,##0_ ;_ * "-"??_ ;_ @_ </c:formatCode>
                <c:ptCount val="2"/>
                <c:pt idx="0" formatCode="General">
                  <c:v>0</c:v>
                </c:pt>
                <c:pt idx="1">
                  <c:v>3695136.375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DE-401B-B3B3-A60054A89C99}"/>
            </c:ext>
          </c:extLst>
        </c:ser>
        <c:ser>
          <c:idx val="5"/>
          <c:order val="5"/>
          <c:tx>
            <c:strRef>
              <c:f>ChartsDataSheet!$BUK$109</c:f>
              <c:strCache>
                <c:ptCount val="1"/>
                <c:pt idx="0">
                  <c:v>Actual 4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ChartsDataSheet!$BUK$110:$BUK$111</c:f>
              <c:numCache>
                <c:formatCode>General</c:formatCode>
                <c:ptCount val="2"/>
                <c:pt idx="0">
                  <c:v>3.75</c:v>
                </c:pt>
                <c:pt idx="1">
                  <c:v>3.75</c:v>
                </c:pt>
              </c:numCache>
            </c:numRef>
          </c:xVal>
          <c:yVal>
            <c:numRef>
              <c:f>ChartsDataSheet!$BUK$112:$BUK$113</c:f>
              <c:numCache>
                <c:formatCode>_ * #,##0_ ;_ * \-#,##0_ ;_ * "-"??_ ;_ @_ </c:formatCode>
                <c:ptCount val="2"/>
                <c:pt idx="0" formatCode="General">
                  <c:v>0</c:v>
                </c:pt>
                <c:pt idx="1">
                  <c:v>4272841.6500000004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2DE-401B-B3B3-A60054A89C99}"/>
            </c:ext>
          </c:extLst>
        </c:ser>
        <c:ser>
          <c:idx val="6"/>
          <c:order val="6"/>
          <c:tx>
            <c:strRef>
              <c:f>ChartsDataSheet!$BUL$109</c:f>
              <c:strCache>
                <c:ptCount val="1"/>
                <c:pt idx="0">
                  <c:v>Actual 5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ChartsDataSheet!$BUL$110:$BUL$111</c:f>
              <c:numCache>
                <c:formatCode>General</c:formatCode>
                <c:ptCount val="2"/>
                <c:pt idx="0">
                  <c:v>4.75</c:v>
                </c:pt>
                <c:pt idx="1">
                  <c:v>4.75</c:v>
                </c:pt>
              </c:numCache>
            </c:numRef>
          </c:xVal>
          <c:yVal>
            <c:numRef>
              <c:f>ChartsDataSheet!$BUL$112:$BUL$113</c:f>
              <c:numCache>
                <c:formatCode>_ * #,##0_ ;_ * \-#,##0_ ;_ * "-"??_ ;_ @_ </c:formatCode>
                <c:ptCount val="2"/>
                <c:pt idx="0" formatCode="General">
                  <c:v>0</c:v>
                </c:pt>
                <c:pt idx="1">
                  <c:v>4209841.6500000004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DE-401B-B3B3-A60054A89C99}"/>
            </c:ext>
          </c:extLst>
        </c:ser>
        <c:ser>
          <c:idx val="14"/>
          <c:order val="7"/>
          <c:tx>
            <c:strRef>
              <c:f>ChartsDataSheet!$BUH$97</c:f>
              <c:strCache>
                <c:ptCount val="1"/>
                <c:pt idx="0">
                  <c:v>Green 1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ChartsDataSheet!$BUH$98:$BUH$99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ChartsDataSheet!$BUH$100:$BUH$101</c:f>
              <c:numCache>
                <c:formatCode>_ * #,##0_ ;_ * \-#,##0_ ;_ * "-"??_ ;_ @_ </c:formatCode>
                <c:ptCount val="2"/>
                <c:pt idx="0">
                  <c:v>3880822.5</c:v>
                </c:pt>
                <c:pt idx="1">
                  <c:v>3880822.5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2DE-401B-B3B3-A60054A89C99}"/>
            </c:ext>
          </c:extLst>
        </c:ser>
        <c:ser>
          <c:idx val="15"/>
          <c:order val="8"/>
          <c:tx>
            <c:strRef>
              <c:f>ChartsDataSheet!$BUI$97</c:f>
              <c:strCache>
                <c:ptCount val="1"/>
                <c:pt idx="0">
                  <c:v>Green 2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ChartsDataSheet!$BUI$98:$BUI$99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ChartsDataSheet!$BUI$100:$BUI$101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2DE-401B-B3B3-A60054A89C99}"/>
            </c:ext>
          </c:extLst>
        </c:ser>
        <c:ser>
          <c:idx val="16"/>
          <c:order val="9"/>
          <c:tx>
            <c:strRef>
              <c:f>ChartsDataSheet!$BUJ$97</c:f>
              <c:strCache>
                <c:ptCount val="1"/>
                <c:pt idx="0">
                  <c:v>Green 3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ChartsDataSheet!$BUJ$98:$BUJ$99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ChartsDataSheet!$BUJ$100:$BUJ$101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2DE-401B-B3B3-A60054A89C99}"/>
            </c:ext>
          </c:extLst>
        </c:ser>
        <c:ser>
          <c:idx val="17"/>
          <c:order val="10"/>
          <c:tx>
            <c:strRef>
              <c:f>ChartsDataSheet!$BUK$97</c:f>
              <c:strCache>
                <c:ptCount val="1"/>
                <c:pt idx="0">
                  <c:v>Green 4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ChartsDataSheet!$BUK$98:$BUK$99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ChartsDataSheet!$BUK$100:$BUK$101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2DE-401B-B3B3-A60054A89C99}"/>
            </c:ext>
          </c:extLst>
        </c:ser>
        <c:ser>
          <c:idx val="18"/>
          <c:order val="11"/>
          <c:tx>
            <c:strRef>
              <c:f>ChartsDataSheet!$BUL$97</c:f>
              <c:strCache>
                <c:ptCount val="1"/>
                <c:pt idx="0">
                  <c:v>Green 5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ChartsDataSheet!$BUL$98:$BUL$99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ChartsDataSheet!$BUL$100:$BUL$101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2DE-401B-B3B3-A60054A89C99}"/>
            </c:ext>
          </c:extLst>
        </c:ser>
        <c:ser>
          <c:idx val="26"/>
          <c:order val="12"/>
          <c:tx>
            <c:strRef>
              <c:f>ChartsDataSheet!$BUH$103</c:f>
              <c:strCache>
                <c:ptCount val="1"/>
                <c:pt idx="0">
                  <c:v>Red 1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ChartsDataSheet!$BUH$104:$BUH$105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ChartsDataSheet!$BUH$106:$BUH$107</c:f>
              <c:numCache>
                <c:formatCode>_ * #,##0_ ;_ * \-#,##0_ ;_ * "-"??_ ;_ @_ </c:formatCode>
                <c:ptCount val="2"/>
                <c:pt idx="0">
                  <c:v>3880822.5</c:v>
                </c:pt>
                <c:pt idx="1">
                  <c:v>3878375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2DE-401B-B3B3-A60054A89C99}"/>
            </c:ext>
          </c:extLst>
        </c:ser>
        <c:ser>
          <c:idx val="27"/>
          <c:order val="13"/>
          <c:tx>
            <c:strRef>
              <c:f>ChartsDataSheet!$BUI$103</c:f>
              <c:strCache>
                <c:ptCount val="1"/>
                <c:pt idx="0">
                  <c:v>Red 2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ChartsDataSheet!$BUI$104:$BUI$105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ChartsDataSheet!$BUI$106:$BUI$107</c:f>
              <c:numCache>
                <c:formatCode>_ * #,##0_ ;_ * \-#,##0_ ;_ * "-"??_ ;_ @_ </c:formatCode>
                <c:ptCount val="2"/>
                <c:pt idx="0">
                  <c:v>4213766.25</c:v>
                </c:pt>
                <c:pt idx="1">
                  <c:v>3836197.5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2DE-401B-B3B3-A60054A89C99}"/>
            </c:ext>
          </c:extLst>
        </c:ser>
        <c:ser>
          <c:idx val="28"/>
          <c:order val="14"/>
          <c:tx>
            <c:strRef>
              <c:f>ChartsDataSheet!$BUJ$103</c:f>
              <c:strCache>
                <c:ptCount val="1"/>
                <c:pt idx="0">
                  <c:v>Red 3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ChartsDataSheet!$BUJ$104:$BUJ$105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ChartsDataSheet!$BUJ$106:$BUJ$107</c:f>
              <c:numCache>
                <c:formatCode>_ * #,##0_ ;_ * \-#,##0_ ;_ * "-"??_ ;_ @_ </c:formatCode>
                <c:ptCount val="2"/>
                <c:pt idx="0">
                  <c:v>4436387.0750000002</c:v>
                </c:pt>
                <c:pt idx="1">
                  <c:v>3695136.375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2DE-401B-B3B3-A60054A89C99}"/>
            </c:ext>
          </c:extLst>
        </c:ser>
        <c:ser>
          <c:idx val="29"/>
          <c:order val="15"/>
          <c:tx>
            <c:strRef>
              <c:f>ChartsDataSheet!$BUK$103</c:f>
              <c:strCache>
                <c:ptCount val="1"/>
                <c:pt idx="0">
                  <c:v>Red 4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ChartsDataSheet!$BUK$104:$BUK$105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ChartsDataSheet!$BUK$106:$BUK$107</c:f>
              <c:numCache>
                <c:formatCode>_ * #,##0_ ;_ * \-#,##0_ ;_ * "-"??_ ;_ @_ </c:formatCode>
                <c:ptCount val="2"/>
                <c:pt idx="0">
                  <c:v>5049956.3133333325</c:v>
                </c:pt>
                <c:pt idx="1">
                  <c:v>4272841.6500000004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C2DE-401B-B3B3-A60054A89C99}"/>
            </c:ext>
          </c:extLst>
        </c:ser>
        <c:ser>
          <c:idx val="30"/>
          <c:order val="16"/>
          <c:tx>
            <c:strRef>
              <c:f>ChartsDataSheet!$BUL$103</c:f>
              <c:strCache>
                <c:ptCount val="1"/>
                <c:pt idx="0">
                  <c:v>Red 5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ChartsDataSheet!$BUL$104:$BUL$105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ChartsDataSheet!$BUL$106:$BUL$107</c:f>
              <c:numCache>
                <c:formatCode>_ * #,##0_ ;_ * \-#,##0_ ;_ * "-"??_ ;_ @_ </c:formatCode>
                <c:ptCount val="2"/>
                <c:pt idx="0">
                  <c:v>5450505.0679166652</c:v>
                </c:pt>
                <c:pt idx="1">
                  <c:v>4209841.6500000004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2DE-401B-B3B3-A60054A89C99}"/>
            </c:ext>
          </c:extLst>
        </c:ser>
        <c:ser>
          <c:idx val="38"/>
          <c:order val="17"/>
          <c:tx>
            <c:strRef>
              <c:f>ChartsDataSheet!$BUH$118</c:f>
              <c:strCache>
                <c:ptCount val="1"/>
                <c:pt idx="0">
                  <c:v>Var 1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ChartsDataSheet!$BUH$121</c:f>
                  <c:strCache>
                    <c:ptCount val="1"/>
                    <c:pt idx="0">
                      <c:v>-2,448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{EBF1A9A6-3E04-48E8-A045-EE00D0E8DDBC}</c15:txfldGUID>
                      <c15:f>ChartsDataSheet!$BUH$121</c15:f>
                      <c15:dlblFieldTableCache>
                        <c:ptCount val="1"/>
                        <c:pt idx="0">
                          <c:v>-2,448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4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ChartsDataSheet!$BUH$119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ChartsDataSheet!$BUH$120</c:f>
              <c:numCache>
                <c:formatCode>"+"#,##0;"-"#,##0</c:formatCode>
                <c:ptCount val="1"/>
                <c:pt idx="0">
                  <c:v>3880822.5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C2DE-401B-B3B3-A60054A89C99}"/>
            </c:ext>
          </c:extLst>
        </c:ser>
        <c:ser>
          <c:idx val="39"/>
          <c:order val="18"/>
          <c:tx>
            <c:strRef>
              <c:f>ChartsDataSheet!$BUI$118</c:f>
              <c:strCache>
                <c:ptCount val="1"/>
                <c:pt idx="0">
                  <c:v>Var 2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ChartsDataSheet!$BUI$121</c:f>
                  <c:strCache>
                    <c:ptCount val="1"/>
                    <c:pt idx="0">
                      <c:v>+3,77,569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{C58E8F8D-97AB-4CA9-8087-8C643FE476C3}</c15:txfldGUID>
                      <c15:f>ChartsDataSheet!$BUI$121</c15:f>
                      <c15:dlblFieldTableCache>
                        <c:ptCount val="1"/>
                        <c:pt idx="0">
                          <c:v>+3,77,569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6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ChartsDataSheet!$BUI$120</c:f>
              <c:numCache>
                <c:formatCode>"+"#,##0;"-"#,##0</c:formatCode>
                <c:ptCount val="1"/>
                <c:pt idx="0">
                  <c:v>4213766.25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C2DE-401B-B3B3-A60054A89C99}"/>
            </c:ext>
          </c:extLst>
        </c:ser>
        <c:ser>
          <c:idx val="40"/>
          <c:order val="19"/>
          <c:tx>
            <c:strRef>
              <c:f>ChartsDataSheet!$BUJ$118</c:f>
              <c:strCache>
                <c:ptCount val="1"/>
                <c:pt idx="0">
                  <c:v>Var 3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ChartsDataSheet!$BUJ$121</c:f>
                  <c:strCache>
                    <c:ptCount val="1"/>
                    <c:pt idx="0">
                      <c:v>+7,41,251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{1A4B9B48-9DE3-44F4-80BC-BAD0805D5BDE}</c15:txfldGUID>
                      <c15:f>ChartsDataSheet!$BUJ$121</c15:f>
                      <c15:dlblFieldTableCache>
                        <c:ptCount val="1"/>
                        <c:pt idx="0">
                          <c:v>+7,41,251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8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ChartsDataSheet!$BUJ$120</c:f>
              <c:numCache>
                <c:formatCode>"+"#,##0;"-"#,##0</c:formatCode>
                <c:ptCount val="1"/>
                <c:pt idx="0">
                  <c:v>4436387.0750000002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C2DE-401B-B3B3-A60054A89C99}"/>
            </c:ext>
          </c:extLst>
        </c:ser>
        <c:ser>
          <c:idx val="41"/>
          <c:order val="20"/>
          <c:tx>
            <c:strRef>
              <c:f>ChartsDataSheet!$BUK$118</c:f>
              <c:strCache>
                <c:ptCount val="1"/>
                <c:pt idx="0">
                  <c:v>Var 4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ChartsDataSheet!$BUK$121</c:f>
                  <c:strCache>
                    <c:ptCount val="1"/>
                    <c:pt idx="0">
                      <c:v>+7,77,115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{9D103583-33B5-4620-921B-919097F94BF8}</c15:txfldGUID>
                      <c15:f>ChartsDataSheet!$BUK$121</c15:f>
                      <c15:dlblFieldTableCache>
                        <c:ptCount val="1"/>
                        <c:pt idx="0">
                          <c:v>+7,77,115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A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ChartsDataSheet!$BUK$119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ChartsDataSheet!$BUK$120</c:f>
              <c:numCache>
                <c:formatCode>"+"#,##0;"-"#,##0</c:formatCode>
                <c:ptCount val="1"/>
                <c:pt idx="0">
                  <c:v>5049956.3133333325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C2DE-401B-B3B3-A60054A89C99}"/>
            </c:ext>
          </c:extLst>
        </c:ser>
        <c:ser>
          <c:idx val="42"/>
          <c:order val="21"/>
          <c:tx>
            <c:strRef>
              <c:f>ChartsDataSheet!$BUL$118</c:f>
              <c:strCache>
                <c:ptCount val="1"/>
                <c:pt idx="0">
                  <c:v>Var 5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ChartsDataSheet!$BUL$121</c:f>
                  <c:strCache>
                    <c:ptCount val="1"/>
                    <c:pt idx="0">
                      <c:v>+12,40,663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{A1833B7E-0BED-4959-A48C-C8674CD29896}</c15:txfldGUID>
                      <c15:f>ChartsDataSheet!$BUL$121</c15:f>
                      <c15:dlblFieldTableCache>
                        <c:ptCount val="1"/>
                        <c:pt idx="0">
                          <c:v>+12,40,663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C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ChartsDataSheet!$BUL$120</c:f>
              <c:numCache>
                <c:formatCode>"+"#,##0;"-"#,##0</c:formatCode>
                <c:ptCount val="1"/>
                <c:pt idx="0">
                  <c:v>5450505.0679166652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C2DE-401B-B3B3-A60054A89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339376"/>
        <c:axId val="507339048"/>
      </c:scatterChart>
      <c:catAx>
        <c:axId val="50733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7339048"/>
        <c:crosses val="autoZero"/>
        <c:auto val="1"/>
        <c:lblAlgn val="ctr"/>
        <c:lblOffset val="0"/>
        <c:noMultiLvlLbl val="0"/>
      </c:catAx>
      <c:valAx>
        <c:axId val="507339048"/>
        <c:scaling>
          <c:orientation val="minMax"/>
        </c:scaling>
        <c:delete val="1"/>
        <c:axPos val="l"/>
        <c:numFmt formatCode="_ * #,##0_ ;_ * \-#,##0_ ;_ * &quot;-&quot;??_ ;_ @_ " sourceLinked="1"/>
        <c:majorTickMark val="out"/>
        <c:minorTickMark val="none"/>
        <c:tickLblPos val="nextTo"/>
        <c:crossAx val="50733937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5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emf"/><Relationship Id="rId2" Type="http://schemas.openxmlformats.org/officeDocument/2006/relationships/chart" Target="../charts/chart2.xml"/><Relationship Id="rId16" Type="http://schemas.openxmlformats.org/officeDocument/2006/relationships/image" Target="../media/image2.emf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8659</xdr:colOff>
      <xdr:row>5</xdr:row>
      <xdr:rowOff>77931</xdr:rowOff>
    </xdr:from>
    <xdr:ext cx="4330259" cy="2234046"/>
    <xdr:sp macro="" textlink="">
      <xdr:nvSpPr>
        <xdr:cNvPr id="47" name="ZoneTexte 10">
          <a:extLst>
            <a:ext uri="{FF2B5EF4-FFF2-40B4-BE49-F238E27FC236}">
              <a16:creationId xmlns:a16="http://schemas.microsoft.com/office/drawing/2014/main" id="{F2D493ED-A0C0-4BEB-AE23-5C2AB7FDEF06}"/>
            </a:ext>
          </a:extLst>
        </xdr:cNvPr>
        <xdr:cNvSpPr txBox="1"/>
      </xdr:nvSpPr>
      <xdr:spPr>
        <a:xfrm>
          <a:off x="8795773" y="685602"/>
          <a:ext cx="4330259" cy="223404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endParaRPr lang="en-US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1</xdr:col>
      <xdr:colOff>0</xdr:colOff>
      <xdr:row>5</xdr:row>
      <xdr:rowOff>69272</xdr:rowOff>
    </xdr:from>
    <xdr:ext cx="4286250" cy="2234045"/>
    <xdr:sp macro="" textlink="">
      <xdr:nvSpPr>
        <xdr:cNvPr id="37" name="ZoneTexte 10">
          <a:extLst>
            <a:ext uri="{FF2B5EF4-FFF2-40B4-BE49-F238E27FC236}">
              <a16:creationId xmlns:a16="http://schemas.microsoft.com/office/drawing/2014/main" id="{331F8432-00C0-4914-8707-C0870939C0F7}"/>
            </a:ext>
          </a:extLst>
        </xdr:cNvPr>
        <xdr:cNvSpPr txBox="1"/>
      </xdr:nvSpPr>
      <xdr:spPr>
        <a:xfrm>
          <a:off x="954911" y="676943"/>
          <a:ext cx="4286250" cy="223404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endParaRPr lang="en-US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9</xdr:col>
      <xdr:colOff>593149</xdr:colOff>
      <xdr:row>16</xdr:row>
      <xdr:rowOff>258040</xdr:rowOff>
    </xdr:from>
    <xdr:ext cx="1009649" cy="1047466"/>
    <xdr:sp macro="" textlink="data!J22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6775959" y="3576116"/>
          <a:ext cx="1009649" cy="1047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7CB2FFE1-2A5F-4370-99AD-1002EAA5D6D2}" type="TxLink">
            <a:rPr lang="en-US" sz="2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108%</a:t>
          </a:fld>
          <a:endParaRPr lang="fr-CA" sz="2800" b="1">
            <a:solidFill>
              <a:schemeClr val="tx1">
                <a:lumMod val="75000"/>
                <a:lumOff val="2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oneCellAnchor>
    <xdr:from>
      <xdr:col>9</xdr:col>
      <xdr:colOff>531812</xdr:colOff>
      <xdr:row>23</xdr:row>
      <xdr:rowOff>293540</xdr:rowOff>
    </xdr:from>
    <xdr:ext cx="1009650" cy="979242"/>
    <xdr:sp macro="" textlink="data!J24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714622" y="5405692"/>
          <a:ext cx="1009650" cy="9792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DD7FB04E-26EA-408B-865A-771B03DE1128}" type="TxLink">
            <a:rPr lang="en-US" sz="26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114%</a:t>
          </a:fld>
          <a:endParaRPr lang="fr-CA" sz="2600" b="1">
            <a:solidFill>
              <a:schemeClr val="tx1">
                <a:lumMod val="75000"/>
                <a:lumOff val="2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twoCellAnchor>
    <xdr:from>
      <xdr:col>2</xdr:col>
      <xdr:colOff>171322</xdr:colOff>
      <xdr:row>17</xdr:row>
      <xdr:rowOff>63573</xdr:rowOff>
    </xdr:from>
    <xdr:to>
      <xdr:col>3</xdr:col>
      <xdr:colOff>693523</xdr:colOff>
      <xdr:row>18</xdr:row>
      <xdr:rowOff>219436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6BBE38-7DAF-415C-8407-D86230330D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650691</xdr:colOff>
      <xdr:row>17</xdr:row>
      <xdr:rowOff>57915</xdr:rowOff>
    </xdr:from>
    <xdr:to>
      <xdr:col>7</xdr:col>
      <xdr:colOff>551111</xdr:colOff>
      <xdr:row>18</xdr:row>
      <xdr:rowOff>144507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AD384F7D-B98E-424A-8CB5-E91D8CB48B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655620</xdr:colOff>
      <xdr:row>16</xdr:row>
      <xdr:rowOff>298870</xdr:rowOff>
    </xdr:from>
    <xdr:to>
      <xdr:col>15</xdr:col>
      <xdr:colOff>672939</xdr:colOff>
      <xdr:row>19</xdr:row>
      <xdr:rowOff>11388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9227DD36-3B53-4CC9-B860-98BC1F3B01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590242</xdr:colOff>
      <xdr:row>17</xdr:row>
      <xdr:rowOff>18634</xdr:rowOff>
    </xdr:from>
    <xdr:to>
      <xdr:col>20</xdr:col>
      <xdr:colOff>417061</xdr:colOff>
      <xdr:row>18</xdr:row>
      <xdr:rowOff>145451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C1966DE-6B61-42F7-A1ED-B6D583CCED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129613</xdr:colOff>
      <xdr:row>25</xdr:row>
      <xdr:rowOff>48640</xdr:rowOff>
    </xdr:from>
    <xdr:to>
      <xdr:col>3</xdr:col>
      <xdr:colOff>673463</xdr:colOff>
      <xdr:row>26</xdr:row>
      <xdr:rowOff>147570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39B69F3-EE9A-49C6-B694-725D4A62D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471412</xdr:colOff>
      <xdr:row>24</xdr:row>
      <xdr:rowOff>37596</xdr:rowOff>
    </xdr:from>
    <xdr:to>
      <xdr:col>7</xdr:col>
      <xdr:colOff>293901</xdr:colOff>
      <xdr:row>26</xdr:row>
      <xdr:rowOff>210777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D9FCE579-DED2-4A0F-990C-E51F84A50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14249</xdr:colOff>
      <xdr:row>24</xdr:row>
      <xdr:rowOff>47569</xdr:rowOff>
    </xdr:from>
    <xdr:to>
      <xdr:col>15</xdr:col>
      <xdr:colOff>550511</xdr:colOff>
      <xdr:row>26</xdr:row>
      <xdr:rowOff>260978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CD0B827D-FBB3-43CC-A24F-F35F244C0C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601864</xdr:colOff>
      <xdr:row>24</xdr:row>
      <xdr:rowOff>25975</xdr:rowOff>
    </xdr:from>
    <xdr:to>
      <xdr:col>20</xdr:col>
      <xdr:colOff>424353</xdr:colOff>
      <xdr:row>26</xdr:row>
      <xdr:rowOff>225135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922B9F4A-DF6E-4D58-ABB6-CE53276A46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789478</xdr:colOff>
      <xdr:row>5</xdr:row>
      <xdr:rowOff>2737</xdr:rowOff>
    </xdr:from>
    <xdr:to>
      <xdr:col>7</xdr:col>
      <xdr:colOff>1270000</xdr:colOff>
      <xdr:row>13</xdr:row>
      <xdr:rowOff>302915</xdr:rowOff>
    </xdr:to>
    <xdr:graphicFrame macro="">
      <xdr:nvGraphicFramePr>
        <xdr:cNvPr id="46" name="WAT_1">
          <a:extLst>
            <a:ext uri="{FF2B5EF4-FFF2-40B4-BE49-F238E27FC236}">
              <a16:creationId xmlns:a16="http://schemas.microsoft.com/office/drawing/2014/main" id="{218A3640-6070-47E4-9235-D3EB8325F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</xdr:col>
      <xdr:colOff>2</xdr:colOff>
      <xdr:row>5</xdr:row>
      <xdr:rowOff>69272</xdr:rowOff>
    </xdr:from>
    <xdr:ext cx="2052204" cy="2225387"/>
    <xdr:sp macro="" textlink="">
      <xdr:nvSpPr>
        <xdr:cNvPr id="48" name="ZoneTexte 10">
          <a:extLst>
            <a:ext uri="{FF2B5EF4-FFF2-40B4-BE49-F238E27FC236}">
              <a16:creationId xmlns:a16="http://schemas.microsoft.com/office/drawing/2014/main" id="{68785869-F9F2-4391-BDD2-45622BA37CAC}"/>
            </a:ext>
          </a:extLst>
        </xdr:cNvPr>
        <xdr:cNvSpPr txBox="1"/>
      </xdr:nvSpPr>
      <xdr:spPr>
        <a:xfrm>
          <a:off x="6182812" y="676943"/>
          <a:ext cx="2052204" cy="222538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endParaRPr lang="en-US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>
    <xdr:from>
      <xdr:col>8</xdr:col>
      <xdr:colOff>93679</xdr:colOff>
      <xdr:row>14</xdr:row>
      <xdr:rowOff>221846</xdr:rowOff>
    </xdr:from>
    <xdr:to>
      <xdr:col>12</xdr:col>
      <xdr:colOff>241139</xdr:colOff>
      <xdr:row>19</xdr:row>
      <xdr:rowOff>434051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D01204B-EF4D-41E2-A07A-FF8A1BD5E2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126597</xdr:colOff>
      <xdr:row>20</xdr:row>
      <xdr:rowOff>1421</xdr:rowOff>
    </xdr:from>
    <xdr:to>
      <xdr:col>11</xdr:col>
      <xdr:colOff>868102</xdr:colOff>
      <xdr:row>27</xdr:row>
      <xdr:rowOff>462988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85F5B6E0-35E5-4367-8E6C-F25949C11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121227</xdr:colOff>
      <xdr:row>5</xdr:row>
      <xdr:rowOff>60613</xdr:rowOff>
    </xdr:from>
    <xdr:to>
      <xdr:col>14</xdr:col>
      <xdr:colOff>48924</xdr:colOff>
      <xdr:row>13</xdr:row>
      <xdr:rowOff>150236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E0ABBD94-574E-446B-AF5C-5EEDD74E55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409937</xdr:colOff>
      <xdr:row>6</xdr:row>
      <xdr:rowOff>96456</xdr:rowOff>
    </xdr:from>
    <xdr:to>
      <xdr:col>13</xdr:col>
      <xdr:colOff>528133</xdr:colOff>
      <xdr:row>13</xdr:row>
      <xdr:rowOff>131093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FFFB005B-CBBD-4688-915D-A6F79405A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406665</xdr:colOff>
          <xdr:row>18</xdr:row>
          <xdr:rowOff>67300</xdr:rowOff>
        </xdr:from>
        <xdr:to>
          <xdr:col>3</xdr:col>
          <xdr:colOff>468335</xdr:colOff>
          <xdr:row>19</xdr:row>
          <xdr:rowOff>22621</xdr:rowOff>
        </xdr:to>
        <xdr:pic>
          <xdr:nvPicPr>
            <xdr:cNvPr id="67" name="Picture 66">
              <a:extLst>
                <a:ext uri="{FF2B5EF4-FFF2-40B4-BE49-F238E27FC236}">
                  <a16:creationId xmlns:a16="http://schemas.microsoft.com/office/drawing/2014/main" id="{D30B32B9-784A-4D2D-9597-E7882626699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4" spid="_x0000_s94236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2083065" y="4192260"/>
              <a:ext cx="783030" cy="26012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193692</xdr:colOff>
          <xdr:row>18</xdr:row>
          <xdr:rowOff>51483</xdr:rowOff>
        </xdr:from>
        <xdr:to>
          <xdr:col>7</xdr:col>
          <xdr:colOff>289242</xdr:colOff>
          <xdr:row>19</xdr:row>
          <xdr:rowOff>10663</xdr:rowOff>
        </xdr:to>
        <xdr:pic>
          <xdr:nvPicPr>
            <xdr:cNvPr id="68" name="Picture 67">
              <a:extLst>
                <a:ext uri="{FF2B5EF4-FFF2-40B4-BE49-F238E27FC236}">
                  <a16:creationId xmlns:a16="http://schemas.microsoft.com/office/drawing/2014/main" id="{2BE34037-C77A-4FAE-8211-5A066824310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7" spid="_x0000_s94237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5334652" y="4176443"/>
              <a:ext cx="816909" cy="2639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352597</xdr:colOff>
          <xdr:row>18</xdr:row>
          <xdr:rowOff>38363</xdr:rowOff>
        </xdr:from>
        <xdr:to>
          <xdr:col>15</xdr:col>
          <xdr:colOff>414267</xdr:colOff>
          <xdr:row>19</xdr:row>
          <xdr:rowOff>1836</xdr:rowOff>
        </xdr:to>
        <xdr:pic>
          <xdr:nvPicPr>
            <xdr:cNvPr id="69" name="Picture 68">
              <a:extLst>
                <a:ext uri="{FF2B5EF4-FFF2-40B4-BE49-F238E27FC236}">
                  <a16:creationId xmlns:a16="http://schemas.microsoft.com/office/drawing/2014/main" id="{739C0291-4D8F-4C07-B689-8375B85E0FD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1" spid="_x0000_s94238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11183157" y="4163323"/>
              <a:ext cx="783030" cy="2639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432340</xdr:colOff>
          <xdr:row>18</xdr:row>
          <xdr:rowOff>25337</xdr:rowOff>
        </xdr:from>
        <xdr:to>
          <xdr:col>20</xdr:col>
          <xdr:colOff>69827</xdr:colOff>
          <xdr:row>18</xdr:row>
          <xdr:rowOff>289317</xdr:rowOff>
        </xdr:to>
        <xdr:pic>
          <xdr:nvPicPr>
            <xdr:cNvPr id="70" name="Picture 69">
              <a:extLst>
                <a:ext uri="{FF2B5EF4-FFF2-40B4-BE49-F238E27FC236}">
                  <a16:creationId xmlns:a16="http://schemas.microsoft.com/office/drawing/2014/main" id="{24317544-8DE6-4293-B150-04D005725F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2" spid="_x0000_s94239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13203074" y="4008957"/>
              <a:ext cx="804601" cy="2639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378002</xdr:colOff>
          <xdr:row>26</xdr:row>
          <xdr:rowOff>73303</xdr:rowOff>
        </xdr:from>
        <xdr:to>
          <xdr:col>3</xdr:col>
          <xdr:colOff>476422</xdr:colOff>
          <xdr:row>26</xdr:row>
          <xdr:rowOff>337283</xdr:rowOff>
        </xdr:to>
        <xdr:pic>
          <xdr:nvPicPr>
            <xdr:cNvPr id="71" name="Picture 70">
              <a:extLst>
                <a:ext uri="{FF2B5EF4-FFF2-40B4-BE49-F238E27FC236}">
                  <a16:creationId xmlns:a16="http://schemas.microsoft.com/office/drawing/2014/main" id="{ACE65F2F-02D6-442C-BEFB-8E7FFAAC0A5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5" spid="_x0000_s94240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2054402" y="6148983"/>
              <a:ext cx="819780" cy="2639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94153</xdr:colOff>
          <xdr:row>26</xdr:row>
          <xdr:rowOff>61338</xdr:rowOff>
        </xdr:from>
        <xdr:to>
          <xdr:col>7</xdr:col>
          <xdr:colOff>197291</xdr:colOff>
          <xdr:row>26</xdr:row>
          <xdr:rowOff>325318</xdr:rowOff>
        </xdr:to>
        <xdr:pic>
          <xdr:nvPicPr>
            <xdr:cNvPr id="72" name="Picture 71">
              <a:extLst>
                <a:ext uri="{FF2B5EF4-FFF2-40B4-BE49-F238E27FC236}">
                  <a16:creationId xmlns:a16="http://schemas.microsoft.com/office/drawing/2014/main" id="{8E6B995F-A949-4B15-981E-9BFD33F20E4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8" spid="_x0000_s94241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5235113" y="6137018"/>
              <a:ext cx="824497" cy="2639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295067</xdr:colOff>
          <xdr:row>26</xdr:row>
          <xdr:rowOff>70260</xdr:rowOff>
        </xdr:from>
        <xdr:to>
          <xdr:col>15</xdr:col>
          <xdr:colOff>356737</xdr:colOff>
          <xdr:row>26</xdr:row>
          <xdr:rowOff>334240</xdr:rowOff>
        </xdr:to>
        <xdr:pic>
          <xdr:nvPicPr>
            <xdr:cNvPr id="75" name="Picture 74">
              <a:extLst>
                <a:ext uri="{FF2B5EF4-FFF2-40B4-BE49-F238E27FC236}">
                  <a16:creationId xmlns:a16="http://schemas.microsoft.com/office/drawing/2014/main" id="{A392EA42-CA2C-411B-AC58-CDEE1C24645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9" spid="_x0000_s94242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9795953" y="5886538"/>
              <a:ext cx="775442" cy="2639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440331</xdr:colOff>
          <xdr:row>26</xdr:row>
          <xdr:rowOff>63304</xdr:rowOff>
        </xdr:from>
        <xdr:to>
          <xdr:col>20</xdr:col>
          <xdr:colOff>42746</xdr:colOff>
          <xdr:row>26</xdr:row>
          <xdr:rowOff>327284</xdr:rowOff>
        </xdr:to>
        <xdr:pic>
          <xdr:nvPicPr>
            <xdr:cNvPr id="76" name="Picture 75">
              <a:extLst>
                <a:ext uri="{FF2B5EF4-FFF2-40B4-BE49-F238E27FC236}">
                  <a16:creationId xmlns:a16="http://schemas.microsoft.com/office/drawing/2014/main" id="{FD0FCD10-3827-49BB-B57B-2FF42F38040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0" spid="_x0000_s94243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13211065" y="5879582"/>
              <a:ext cx="769529" cy="2639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9</xdr:col>
      <xdr:colOff>1</xdr:colOff>
      <xdr:row>5</xdr:row>
      <xdr:rowOff>81878</xdr:rowOff>
    </xdr:from>
    <xdr:to>
      <xdr:col>11</xdr:col>
      <xdr:colOff>1012785</xdr:colOff>
      <xdr:row>13</xdr:row>
      <xdr:rowOff>337596</xdr:rowOff>
    </xdr:to>
    <xdr:graphicFrame macro="">
      <xdr:nvGraphicFramePr>
        <xdr:cNvPr id="78" name="RBC_1">
          <a:extLst>
            <a:ext uri="{FF2B5EF4-FFF2-40B4-BE49-F238E27FC236}">
              <a16:creationId xmlns:a16="http://schemas.microsoft.com/office/drawing/2014/main" id="{A4AFAB3A-83B7-44B2-9BCF-EB8B90DE7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173182</xdr:colOff>
          <xdr:row>6</xdr:row>
          <xdr:rowOff>467591</xdr:rowOff>
        </xdr:from>
        <xdr:to>
          <xdr:col>11</xdr:col>
          <xdr:colOff>807891</xdr:colOff>
          <xdr:row>11</xdr:row>
          <xdr:rowOff>225137</xdr:rowOff>
        </xdr:to>
        <xdr:pic>
          <xdr:nvPicPr>
            <xdr:cNvPr id="80" name="Picture 79">
              <a:extLst>
                <a:ext uri="{FF2B5EF4-FFF2-40B4-BE49-F238E27FC236}">
                  <a16:creationId xmlns:a16="http://schemas.microsoft.com/office/drawing/2014/main" id="{35ADB994-085F-4E3B-AED6-64AA2AC4567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N$38" spid="_x0000_s94244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6355992" y="1210300"/>
              <a:ext cx="1878989" cy="98253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77931</xdr:colOff>
          <xdr:row>10</xdr:row>
          <xdr:rowOff>1</xdr:rowOff>
        </xdr:from>
        <xdr:to>
          <xdr:col>11</xdr:col>
          <xdr:colOff>207817</xdr:colOff>
          <xdr:row>11</xdr:row>
          <xdr:rowOff>164523</xdr:rowOff>
        </xdr:to>
        <xdr:pic>
          <xdr:nvPicPr>
            <xdr:cNvPr id="82" name="Picture 81">
              <a:extLst>
                <a:ext uri="{FF2B5EF4-FFF2-40B4-BE49-F238E27FC236}">
                  <a16:creationId xmlns:a16="http://schemas.microsoft.com/office/drawing/2014/main" id="{C6ECCE4D-8AA0-4626-8D66-4C7B90297DC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5" spid="_x0000_s94245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6974513" y="1909824"/>
              <a:ext cx="660393" cy="2223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703441</xdr:colOff>
      <xdr:row>18</xdr:row>
      <xdr:rowOff>256656</xdr:rowOff>
    </xdr:from>
    <xdr:to>
      <xdr:col>3</xdr:col>
      <xdr:colOff>953625</xdr:colOff>
      <xdr:row>19</xdr:row>
      <xdr:rowOff>279721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F649439-E6D4-42FB-B689-59D3B2E14CD5}"/>
            </a:ext>
          </a:extLst>
        </xdr:cNvPr>
        <xdr:cNvSpPr txBox="1"/>
      </xdr:nvSpPr>
      <xdr:spPr>
        <a:xfrm>
          <a:off x="1658481" y="4381616"/>
          <a:ext cx="1692904" cy="3278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500" b="1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vs.</a:t>
          </a:r>
          <a:r>
            <a:rPr lang="en-US" sz="1500" b="1" baseline="0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previous year</a:t>
          </a:r>
          <a:endParaRPr lang="en-US" sz="1500" b="1">
            <a:solidFill>
              <a:schemeClr val="tx1">
                <a:lumMod val="50000"/>
                <a:lumOff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512231</xdr:colOff>
      <xdr:row>18</xdr:row>
      <xdr:rowOff>265230</xdr:rowOff>
    </xdr:from>
    <xdr:to>
      <xdr:col>7</xdr:col>
      <xdr:colOff>762414</xdr:colOff>
      <xdr:row>19</xdr:row>
      <xdr:rowOff>288295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F575467B-F3EF-4EAC-813F-BCD14C8220EA}"/>
            </a:ext>
          </a:extLst>
        </xdr:cNvPr>
        <xdr:cNvSpPr txBox="1"/>
      </xdr:nvSpPr>
      <xdr:spPr>
        <a:xfrm>
          <a:off x="4931831" y="4390190"/>
          <a:ext cx="1692903" cy="3278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500" b="1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vs.</a:t>
          </a:r>
          <a:r>
            <a:rPr lang="en-US" sz="1500" b="1" baseline="0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previous year</a:t>
          </a:r>
          <a:endParaRPr lang="en-US" sz="1500" b="1">
            <a:solidFill>
              <a:schemeClr val="tx1">
                <a:lumMod val="50000"/>
                <a:lumOff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647877</xdr:colOff>
      <xdr:row>18</xdr:row>
      <xdr:rowOff>238487</xdr:rowOff>
    </xdr:from>
    <xdr:to>
      <xdr:col>15</xdr:col>
      <xdr:colOff>898061</xdr:colOff>
      <xdr:row>19</xdr:row>
      <xdr:rowOff>261552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5B1EC196-9848-410D-AD38-F851FD3E9CD2}"/>
            </a:ext>
          </a:extLst>
        </xdr:cNvPr>
        <xdr:cNvSpPr txBox="1"/>
      </xdr:nvSpPr>
      <xdr:spPr>
        <a:xfrm>
          <a:off x="9434991" y="4222107"/>
          <a:ext cx="1677728" cy="3317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500" b="1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vs.</a:t>
          </a:r>
          <a:r>
            <a:rPr lang="en-US" sz="1500" b="1" baseline="0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previous year</a:t>
          </a:r>
          <a:endParaRPr lang="en-US" sz="1500" b="1">
            <a:solidFill>
              <a:schemeClr val="tx1">
                <a:lumMod val="50000"/>
                <a:lumOff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18</xdr:col>
      <xdr:colOff>113898</xdr:colOff>
      <xdr:row>18</xdr:row>
      <xdr:rowOff>229029</xdr:rowOff>
    </xdr:from>
    <xdr:to>
      <xdr:col>21</xdr:col>
      <xdr:colOff>441467</xdr:colOff>
      <xdr:row>19</xdr:row>
      <xdr:rowOff>252094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16E7B37F-B821-4892-A762-8E931766CD13}"/>
            </a:ext>
          </a:extLst>
        </xdr:cNvPr>
        <xdr:cNvSpPr txBox="1"/>
      </xdr:nvSpPr>
      <xdr:spPr>
        <a:xfrm>
          <a:off x="12884632" y="4212649"/>
          <a:ext cx="2565341" cy="3317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500" b="1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vs.</a:t>
          </a:r>
          <a:r>
            <a:rPr lang="en-US" sz="1500" b="1" baseline="0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previous year</a:t>
          </a:r>
          <a:endParaRPr lang="en-US" sz="1500" b="1">
            <a:solidFill>
              <a:schemeClr val="tx1">
                <a:lumMod val="50000"/>
                <a:lumOff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700328</xdr:colOff>
      <xdr:row>26</xdr:row>
      <xdr:rowOff>258828</xdr:rowOff>
    </xdr:from>
    <xdr:to>
      <xdr:col>3</xdr:col>
      <xdr:colOff>950512</xdr:colOff>
      <xdr:row>27</xdr:row>
      <xdr:rowOff>311657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B74D43B9-FFB1-4EDB-AA48-A59DE48108F8}"/>
            </a:ext>
          </a:extLst>
        </xdr:cNvPr>
        <xdr:cNvSpPr txBox="1"/>
      </xdr:nvSpPr>
      <xdr:spPr>
        <a:xfrm>
          <a:off x="1655368" y="6334508"/>
          <a:ext cx="1692904" cy="4389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500" b="1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vs.</a:t>
          </a:r>
          <a:r>
            <a:rPr lang="en-US" sz="1500" b="1" baseline="0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previous year</a:t>
          </a:r>
          <a:endParaRPr lang="en-US" sz="1500" b="1">
            <a:solidFill>
              <a:schemeClr val="tx1">
                <a:lumMod val="50000"/>
                <a:lumOff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422686</xdr:colOff>
      <xdr:row>26</xdr:row>
      <xdr:rowOff>220423</xdr:rowOff>
    </xdr:from>
    <xdr:to>
      <xdr:col>7</xdr:col>
      <xdr:colOff>672869</xdr:colOff>
      <xdr:row>27</xdr:row>
      <xdr:rowOff>273252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89C1BC41-4DEB-47A7-9C12-B918F4FFF270}"/>
            </a:ext>
          </a:extLst>
        </xdr:cNvPr>
        <xdr:cNvSpPr txBox="1"/>
      </xdr:nvSpPr>
      <xdr:spPr>
        <a:xfrm>
          <a:off x="4842286" y="6296103"/>
          <a:ext cx="1692903" cy="4389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500" b="1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vs.</a:t>
          </a:r>
          <a:r>
            <a:rPr lang="en-US" sz="1500" b="1" baseline="0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previous year  </a:t>
          </a:r>
          <a:endParaRPr lang="en-US" sz="1500" b="1">
            <a:solidFill>
              <a:schemeClr val="tx1">
                <a:lumMod val="50000"/>
                <a:lumOff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684224</xdr:colOff>
      <xdr:row>26</xdr:row>
      <xdr:rowOff>257514</xdr:rowOff>
    </xdr:from>
    <xdr:to>
      <xdr:col>15</xdr:col>
      <xdr:colOff>934408</xdr:colOff>
      <xdr:row>27</xdr:row>
      <xdr:rowOff>310343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C2EF67F3-D144-42FB-BC00-A409A11577CC}"/>
            </a:ext>
          </a:extLst>
        </xdr:cNvPr>
        <xdr:cNvSpPr txBox="1"/>
      </xdr:nvSpPr>
      <xdr:spPr>
        <a:xfrm>
          <a:off x="9471338" y="6073792"/>
          <a:ext cx="1677728" cy="4386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500" b="1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vs.</a:t>
          </a:r>
          <a:r>
            <a:rPr lang="en-US" sz="1500" b="1" baseline="0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previous year</a:t>
          </a:r>
          <a:endParaRPr lang="en-US" sz="1500" b="1">
            <a:solidFill>
              <a:schemeClr val="tx1">
                <a:lumMod val="50000"/>
                <a:lumOff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18</xdr:col>
      <xdr:colOff>140996</xdr:colOff>
      <xdr:row>26</xdr:row>
      <xdr:rowOff>260121</xdr:rowOff>
    </xdr:from>
    <xdr:to>
      <xdr:col>21</xdr:col>
      <xdr:colOff>468565</xdr:colOff>
      <xdr:row>27</xdr:row>
      <xdr:rowOff>312950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69F75C0F-4DAC-4B11-8C4A-151DB2ED3913}"/>
            </a:ext>
          </a:extLst>
        </xdr:cNvPr>
        <xdr:cNvSpPr txBox="1"/>
      </xdr:nvSpPr>
      <xdr:spPr>
        <a:xfrm>
          <a:off x="12911730" y="6076399"/>
          <a:ext cx="2565341" cy="4386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500" b="1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vs.</a:t>
          </a:r>
          <a:r>
            <a:rPr lang="en-US" sz="1500" b="1" baseline="0">
              <a:solidFill>
                <a:schemeClr val="tx1">
                  <a:lumMod val="50000"/>
                  <a:lumOff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previous year</a:t>
          </a:r>
          <a:endParaRPr lang="en-US" sz="1500" b="1">
            <a:solidFill>
              <a:schemeClr val="tx1">
                <a:lumMod val="50000"/>
                <a:lumOff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22</xdr:col>
      <xdr:colOff>6169</xdr:colOff>
      <xdr:row>6</xdr:row>
      <xdr:rowOff>313693</xdr:rowOff>
    </xdr:from>
    <xdr:to>
      <xdr:col>23</xdr:col>
      <xdr:colOff>706694</xdr:colOff>
      <xdr:row>7</xdr:row>
      <xdr:rowOff>273539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FAF62BC-43F2-4A2C-8662-E24A57D0A86A}"/>
            </a:ext>
          </a:extLst>
        </xdr:cNvPr>
        <xdr:cNvSpPr txBox="1"/>
      </xdr:nvSpPr>
      <xdr:spPr>
        <a:xfrm>
          <a:off x="16223092" y="1163616"/>
          <a:ext cx="1999833" cy="4385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/>
            <a:t>CHANGE</a:t>
          </a:r>
          <a:r>
            <a:rPr lang="en-IN" sz="1100" b="1" baseline="0"/>
            <a:t> YEARS BY DRAGGING DOWN </a:t>
          </a:r>
          <a:endParaRPr lang="en-IN" sz="1100" b="1"/>
        </a:p>
      </xdr:txBody>
    </xdr:sp>
    <xdr:clientData/>
  </xdr:twoCellAnchor>
  <xdr:twoCellAnchor>
    <xdr:from>
      <xdr:col>22</xdr:col>
      <xdr:colOff>648122</xdr:colOff>
      <xdr:row>4</xdr:row>
      <xdr:rowOff>332899</xdr:rowOff>
    </xdr:from>
    <xdr:to>
      <xdr:col>22</xdr:col>
      <xdr:colOff>650363</xdr:colOff>
      <xdr:row>6</xdr:row>
      <xdr:rowOff>306005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9DB79DA7-29AC-48C9-A0E5-9AC0BE877FC1}"/>
            </a:ext>
          </a:extLst>
        </xdr:cNvPr>
        <xdr:cNvCxnSpPr/>
      </xdr:nvCxnSpPr>
      <xdr:spPr>
        <a:xfrm flipV="1">
          <a:off x="17281025" y="701609"/>
          <a:ext cx="2241" cy="45447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204838</xdr:colOff>
      <xdr:row>5</xdr:row>
      <xdr:rowOff>68668</xdr:rowOff>
    </xdr:from>
    <xdr:to>
      <xdr:col>22</xdr:col>
      <xdr:colOff>1240691</xdr:colOff>
      <xdr:row>13</xdr:row>
      <xdr:rowOff>287534</xdr:rowOff>
    </xdr:to>
    <xdr:graphicFrame macro="">
      <xdr:nvGraphicFramePr>
        <xdr:cNvPr id="45" name="VAH_1">
          <a:extLst>
            <a:ext uri="{FF2B5EF4-FFF2-40B4-BE49-F238E27FC236}">
              <a16:creationId xmlns:a16="http://schemas.microsoft.com/office/drawing/2014/main" id="{70BEE35C-02A2-4641-A0A7-C3DEA5C52C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25977</xdr:colOff>
      <xdr:row>5</xdr:row>
      <xdr:rowOff>164525</xdr:rowOff>
    </xdr:from>
    <xdr:to>
      <xdr:col>10</xdr:col>
      <xdr:colOff>467591</xdr:colOff>
      <xdr:row>19</xdr:row>
      <xdr:rowOff>17318</xdr:rowOff>
    </xdr:to>
    <xdr:graphicFrame macro="">
      <xdr:nvGraphicFramePr>
        <xdr:cNvPr id="3" name="WAT_1">
          <a:extLst>
            <a:ext uri="{FF2B5EF4-FFF2-40B4-BE49-F238E27FC236}">
              <a16:creationId xmlns:a16="http://schemas.microsoft.com/office/drawing/2014/main" id="{92A86B2A-4430-4DED-92FB-6E2CD07C22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1304925</xdr:colOff>
      <xdr:row>38</xdr:row>
      <xdr:rowOff>33337</xdr:rowOff>
    </xdr:from>
    <xdr:to>
      <xdr:col>5</xdr:col>
      <xdr:colOff>419100</xdr:colOff>
      <xdr:row>45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B7C341-7276-495C-A200-ED1702200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1295400</xdr:colOff>
      <xdr:row>38</xdr:row>
      <xdr:rowOff>57150</xdr:rowOff>
    </xdr:from>
    <xdr:to>
      <xdr:col>10</xdr:col>
      <xdr:colOff>476250</xdr:colOff>
      <xdr:row>45</xdr:row>
      <xdr:rowOff>80963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52203FFB-3EA8-48A3-96FF-48E58CC8B8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516618</xdr:colOff>
      <xdr:row>23</xdr:row>
      <xdr:rowOff>122465</xdr:rowOff>
    </xdr:from>
    <xdr:to>
      <xdr:col>14</xdr:col>
      <xdr:colOff>122465</xdr:colOff>
      <xdr:row>33</xdr:row>
      <xdr:rowOff>68036</xdr:rowOff>
    </xdr:to>
    <xdr:graphicFrame macro="">
      <xdr:nvGraphicFramePr>
        <xdr:cNvPr id="4" name="RBC_1">
          <a:extLst>
            <a:ext uri="{FF2B5EF4-FFF2-40B4-BE49-F238E27FC236}">
              <a16:creationId xmlns:a16="http://schemas.microsoft.com/office/drawing/2014/main" id="{BDD65A78-816B-41DA-BAB9-470AC192D0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116417</xdr:colOff>
      <xdr:row>6</xdr:row>
      <xdr:rowOff>1</xdr:rowOff>
    </xdr:from>
    <xdr:to>
      <xdr:col>29</xdr:col>
      <xdr:colOff>179917</xdr:colOff>
      <xdr:row>17</xdr:row>
      <xdr:rowOff>243418</xdr:rowOff>
    </xdr:to>
    <xdr:graphicFrame macro="">
      <xdr:nvGraphicFramePr>
        <xdr:cNvPr id="7" name="VAH_1">
          <a:extLst>
            <a:ext uri="{FF2B5EF4-FFF2-40B4-BE49-F238E27FC236}">
              <a16:creationId xmlns:a16="http://schemas.microsoft.com/office/drawing/2014/main" id="{0E353828-5650-4CB3-9EB9-FD59D50A2B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hyperlink" Target="mailto:Cess@4%25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6B0FE-E929-4126-8DE4-1080B83D0002}">
  <dimension ref="A1:E19"/>
  <sheetViews>
    <sheetView showGridLines="0" tabSelected="1" workbookViewId="0">
      <selection activeCell="C6" sqref="C6"/>
    </sheetView>
  </sheetViews>
  <sheetFormatPr defaultRowHeight="14.4" x14ac:dyDescent="0.3"/>
  <cols>
    <col min="2" max="2" width="6.109375" bestFit="1" customWidth="1"/>
    <col min="3" max="3" width="21.88671875" bestFit="1" customWidth="1"/>
    <col min="4" max="4" width="17" bestFit="1" customWidth="1"/>
  </cols>
  <sheetData>
    <row r="1" spans="1:5" ht="30" customHeight="1" x14ac:dyDescent="0.3">
      <c r="A1" s="550" t="s">
        <v>527</v>
      </c>
      <c r="B1" s="551"/>
      <c r="C1" s="551"/>
      <c r="D1" s="551"/>
      <c r="E1" s="551"/>
    </row>
    <row r="2" spans="1:5" x14ac:dyDescent="0.3">
      <c r="A2" s="484"/>
      <c r="B2" s="484"/>
      <c r="C2" s="484"/>
      <c r="D2" s="484"/>
      <c r="E2" s="484"/>
    </row>
    <row r="3" spans="1:5" x14ac:dyDescent="0.3">
      <c r="A3" s="484"/>
      <c r="B3" s="485" t="s">
        <v>525</v>
      </c>
      <c r="C3" s="485" t="s">
        <v>526</v>
      </c>
      <c r="D3" s="485" t="s">
        <v>45</v>
      </c>
      <c r="E3" s="484"/>
    </row>
    <row r="4" spans="1:5" x14ac:dyDescent="0.3">
      <c r="A4" s="484"/>
      <c r="B4" s="484"/>
      <c r="C4" s="486"/>
      <c r="D4" s="484"/>
      <c r="E4" s="484"/>
    </row>
    <row r="5" spans="1:5" x14ac:dyDescent="0.3">
      <c r="A5" s="484"/>
      <c r="B5" s="484">
        <v>1</v>
      </c>
      <c r="C5" s="486" t="s">
        <v>517</v>
      </c>
      <c r="D5" s="484"/>
      <c r="E5" s="484"/>
    </row>
    <row r="6" spans="1:5" x14ac:dyDescent="0.3">
      <c r="A6" s="484"/>
      <c r="B6" s="484">
        <v>2</v>
      </c>
      <c r="C6" s="486" t="s">
        <v>518</v>
      </c>
      <c r="D6" s="484"/>
      <c r="E6" s="484"/>
    </row>
    <row r="7" spans="1:5" x14ac:dyDescent="0.3">
      <c r="A7" s="484"/>
      <c r="B7" s="484">
        <v>3</v>
      </c>
      <c r="C7" s="486" t="s">
        <v>456</v>
      </c>
      <c r="D7" s="484"/>
      <c r="E7" s="484"/>
    </row>
    <row r="8" spans="1:5" x14ac:dyDescent="0.3">
      <c r="A8" s="484"/>
      <c r="B8" s="484">
        <v>4</v>
      </c>
      <c r="C8" s="486" t="s">
        <v>519</v>
      </c>
      <c r="D8" s="484"/>
      <c r="E8" s="484"/>
    </row>
    <row r="9" spans="1:5" x14ac:dyDescent="0.3">
      <c r="A9" s="484"/>
      <c r="B9" s="484">
        <v>5</v>
      </c>
      <c r="C9" s="486" t="s">
        <v>465</v>
      </c>
      <c r="D9" s="484"/>
      <c r="E9" s="484"/>
    </row>
    <row r="10" spans="1:5" x14ac:dyDescent="0.3">
      <c r="A10" s="484"/>
      <c r="B10" s="484">
        <v>6</v>
      </c>
      <c r="C10" s="486" t="s">
        <v>520</v>
      </c>
      <c r="D10" s="484"/>
      <c r="E10" s="484"/>
    </row>
    <row r="11" spans="1:5" x14ac:dyDescent="0.3">
      <c r="A11" s="484"/>
      <c r="B11" s="484">
        <v>7</v>
      </c>
      <c r="C11" s="486" t="s">
        <v>521</v>
      </c>
      <c r="D11" s="484"/>
      <c r="E11" s="484"/>
    </row>
    <row r="12" spans="1:5" x14ac:dyDescent="0.3">
      <c r="A12" s="484"/>
      <c r="B12" s="484">
        <v>8</v>
      </c>
      <c r="C12" s="486" t="s">
        <v>522</v>
      </c>
      <c r="D12" s="484"/>
      <c r="E12" s="484"/>
    </row>
    <row r="13" spans="1:5" x14ac:dyDescent="0.3">
      <c r="A13" s="484"/>
      <c r="B13" s="484">
        <v>9</v>
      </c>
      <c r="C13" s="486" t="s">
        <v>523</v>
      </c>
      <c r="D13" s="484"/>
      <c r="E13" s="484"/>
    </row>
    <row r="14" spans="1:5" x14ac:dyDescent="0.3">
      <c r="A14" s="484"/>
      <c r="B14" s="484">
        <v>10</v>
      </c>
      <c r="C14" s="486" t="s">
        <v>524</v>
      </c>
      <c r="D14" s="484"/>
      <c r="E14" s="484"/>
    </row>
    <row r="15" spans="1:5" x14ac:dyDescent="0.3">
      <c r="A15" s="484"/>
      <c r="B15" s="484"/>
      <c r="C15" s="484"/>
      <c r="D15" s="484"/>
      <c r="E15" s="484"/>
    </row>
    <row r="16" spans="1:5" x14ac:dyDescent="0.3">
      <c r="A16" s="484"/>
      <c r="B16" s="484"/>
      <c r="C16" s="484"/>
      <c r="D16" s="484"/>
      <c r="E16" s="484"/>
    </row>
    <row r="17" spans="1:5" x14ac:dyDescent="0.3">
      <c r="A17" s="484"/>
      <c r="B17" s="484"/>
      <c r="C17" s="486"/>
      <c r="D17" s="484"/>
      <c r="E17" s="484"/>
    </row>
    <row r="18" spans="1:5" x14ac:dyDescent="0.3">
      <c r="A18" s="484"/>
      <c r="B18" s="484"/>
      <c r="C18" s="486"/>
      <c r="D18" s="484"/>
      <c r="E18" s="484"/>
    </row>
    <row r="19" spans="1:5" x14ac:dyDescent="0.3">
      <c r="A19" s="484"/>
      <c r="B19" s="484"/>
      <c r="C19" s="484"/>
      <c r="D19" s="484"/>
      <c r="E19" s="484"/>
    </row>
  </sheetData>
  <mergeCells count="1">
    <mergeCell ref="A1:E1"/>
  </mergeCells>
  <hyperlinks>
    <hyperlink ref="C5" location="'DASHBOARD '!A1" display="DASHBOARD " xr:uid="{B9066A44-E6EA-44EF-9B94-E668AAEE689F}"/>
    <hyperlink ref="C6" location="'SALES FORECAST'!A1" display="SALES FORECAST" xr:uid="{7C0A5533-B436-4FE8-8D25-637D04EB9A32}"/>
    <hyperlink ref="C7" location="'COST SHEET '!A1" display="COST SHEET " xr:uid="{9C4C7768-77E3-45CB-9D52-ECEC91430E80}"/>
    <hyperlink ref="C8" location="'INCOME STATEMENT '!A1" display="INCOME STATEMENT " xr:uid="{A30A27B2-086E-4CF7-AF1F-24481A054359}"/>
    <hyperlink ref="C9" location="'BALANCE SHEET '!A1" display="BALANCE SHEET " xr:uid="{1C474BAD-E8D9-4AE4-9114-168AD87FA161}"/>
    <hyperlink ref="C10" location="'CASH BOOK'!A1" display="CASH BOOK" xr:uid="{2952342B-B918-4DC4-808A-B65B1333C20F}"/>
    <hyperlink ref="C11" location="'CASH FLOW STATEMENT '!A1" display="CASH FLOW STATEMENT " xr:uid="{F90087AF-B0BA-4222-AA03-3B1881D07820}"/>
    <hyperlink ref="C12" location="'BREAK EVEN POINT '!A1" display="BREAK EVEN POINT " xr:uid="{93D2FE8F-A2EB-46B1-BCCD-B938321E6712}"/>
    <hyperlink ref="C13" location="'RATIOS '!A1" display="RATIOS " xr:uid="{ADAFD560-F670-4E12-958B-DB33D8841880}"/>
    <hyperlink ref="C14" location="'COP (IN UNITS) '!A1" display="COP (IN UNITS) " xr:uid="{AF5CC693-534F-4CD5-819D-A1938B3109A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P46"/>
  <sheetViews>
    <sheetView showGridLines="0" topLeftCell="A4" zoomScale="88" zoomScaleNormal="145" workbookViewId="0">
      <selection activeCell="O20" sqref="O20"/>
    </sheetView>
  </sheetViews>
  <sheetFormatPr defaultColWidth="11.44140625" defaultRowHeight="14.4" x14ac:dyDescent="0.3"/>
  <cols>
    <col min="1" max="1" width="1.44140625" style="1" customWidth="1"/>
    <col min="2" max="2" width="2" style="1" customWidth="1"/>
    <col min="3" max="3" width="2.6640625" style="2" customWidth="1"/>
    <col min="4" max="4" width="29.88671875" style="1" bestFit="1" customWidth="1"/>
    <col min="5" max="5" width="16.44140625" style="1" bestFit="1" customWidth="1"/>
    <col min="6" max="6" width="16" style="1" bestFit="1" customWidth="1"/>
    <col min="7" max="7" width="16.44140625" style="1" bestFit="1" customWidth="1"/>
    <col min="8" max="8" width="16" style="1" bestFit="1" customWidth="1"/>
    <col min="9" max="9" width="16.44140625" style="1" bestFit="1" customWidth="1"/>
    <col min="10" max="10" width="13.21875" style="1" bestFit="1" customWidth="1"/>
    <col min="11" max="11" width="2.44140625" style="54" customWidth="1"/>
    <col min="12" max="12" width="24.33203125" style="36" bestFit="1" customWidth="1"/>
    <col min="13" max="13" width="11.44140625" style="36" customWidth="1"/>
    <col min="14" max="14" width="11.44140625" style="36"/>
    <col min="15" max="16384" width="11.44140625" style="1"/>
  </cols>
  <sheetData>
    <row r="1" spans="2:16" ht="24" hidden="1" customHeight="1" x14ac:dyDescent="0.3"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553"/>
      <c r="O1" s="36"/>
      <c r="P1" s="36"/>
    </row>
    <row r="2" spans="2:16" ht="21.75" hidden="1" customHeight="1" x14ac:dyDescent="0.3">
      <c r="B2" s="36"/>
      <c r="C2" s="56"/>
      <c r="D2" s="36"/>
      <c r="E2" s="36"/>
      <c r="F2" s="36"/>
      <c r="G2" s="36"/>
      <c r="H2" s="36"/>
      <c r="I2" s="36"/>
      <c r="J2" s="36"/>
      <c r="K2" s="74"/>
      <c r="O2" s="36"/>
      <c r="P2" s="36"/>
    </row>
    <row r="3" spans="2:16" ht="10.5" hidden="1" customHeight="1" x14ac:dyDescent="0.3">
      <c r="B3" s="36"/>
      <c r="C3" s="57"/>
      <c r="D3" s="36"/>
      <c r="E3" s="36"/>
      <c r="F3" s="36"/>
      <c r="G3" s="36"/>
      <c r="H3" s="36"/>
      <c r="I3" s="36"/>
      <c r="J3" s="36"/>
      <c r="K3" s="74"/>
      <c r="O3" s="36"/>
      <c r="P3" s="36"/>
    </row>
    <row r="4" spans="2:16" ht="4.5" customHeight="1" x14ac:dyDescent="0.3">
      <c r="B4" s="36"/>
      <c r="C4" s="57"/>
      <c r="D4" s="36"/>
      <c r="E4" s="36"/>
      <c r="F4" s="36"/>
      <c r="G4" s="36"/>
      <c r="H4" s="36"/>
      <c r="I4" s="36"/>
      <c r="O4" s="36"/>
      <c r="P4" s="36"/>
    </row>
    <row r="5" spans="2:16" ht="6" hidden="1" customHeight="1" x14ac:dyDescent="0.3">
      <c r="B5" s="36"/>
      <c r="C5" s="57"/>
      <c r="D5" s="36"/>
      <c r="E5" s="36"/>
      <c r="F5" s="36"/>
      <c r="G5" s="36"/>
      <c r="H5" s="36"/>
      <c r="I5" s="36"/>
      <c r="J5" s="36"/>
      <c r="K5" s="74"/>
      <c r="O5" s="36"/>
      <c r="P5" s="36"/>
    </row>
    <row r="6" spans="2:16" s="3" customFormat="1" ht="36.75" customHeight="1" thickBot="1" x14ac:dyDescent="0.35">
      <c r="C6" s="89"/>
      <c r="D6" s="88" t="s">
        <v>8</v>
      </c>
      <c r="E6" s="124" t="s">
        <v>289</v>
      </c>
      <c r="F6" s="124" t="s">
        <v>290</v>
      </c>
      <c r="G6" s="124" t="s">
        <v>291</v>
      </c>
      <c r="H6" s="124" t="s">
        <v>292</v>
      </c>
      <c r="I6" s="124" t="s">
        <v>293</v>
      </c>
      <c r="J6" s="82" t="s">
        <v>6</v>
      </c>
      <c r="K6" s="84"/>
      <c r="L6" s="83" t="s">
        <v>288</v>
      </c>
      <c r="M6" s="73" t="s">
        <v>287</v>
      </c>
      <c r="N6" s="55"/>
    </row>
    <row r="7" spans="2:16" ht="20.25" customHeight="1" x14ac:dyDescent="0.3">
      <c r="B7" s="556"/>
      <c r="C7" s="85"/>
      <c r="D7" s="110" t="s">
        <v>272</v>
      </c>
      <c r="E7" s="171">
        <f>'INCOME STATEMENT '!C11</f>
        <v>3878375</v>
      </c>
      <c r="F7" s="171">
        <f>'INCOME STATEMENT '!D11</f>
        <v>4213766.25</v>
      </c>
      <c r="G7" s="171">
        <f>'INCOME STATEMENT '!E11</f>
        <v>4436387.0750000002</v>
      </c>
      <c r="H7" s="171">
        <f>'INCOME STATEMENT '!F11</f>
        <v>5049956.3133333325</v>
      </c>
      <c r="I7" s="171">
        <f>'INCOME STATEMENT '!G11</f>
        <v>5450505.0679166652</v>
      </c>
      <c r="J7" s="111">
        <f>IF($M$7=$C$46,SUM(E7:I7),IF($E$6=$M$7,E7,IF($F$6=$M$7,F7,IF($G$6=$M$7,G7,IF($H$6=$M$7,H7,I7)))))</f>
        <v>3878375</v>
      </c>
      <c r="K7" s="75"/>
      <c r="L7" s="93">
        <f>IFERROR(IF($M$7=$E$6,0,IF($M$7=$F$6,F7/E7-1,IF($M$7=$G$6,G7/F7-1,IF($M$7=$H$6,H7/G7-1,IF($M$7=$I$6,I7/H7-1,""))))),0)</f>
        <v>0</v>
      </c>
      <c r="M7" s="92" t="str">
        <f>'DASHBOARD '!W5</f>
        <v xml:space="preserve">Year 1 </v>
      </c>
      <c r="O7" s="549"/>
    </row>
    <row r="8" spans="2:16" ht="20.25" customHeight="1" x14ac:dyDescent="0.3">
      <c r="B8" s="556"/>
      <c r="C8" s="90"/>
      <c r="D8" s="112" t="s">
        <v>9</v>
      </c>
      <c r="E8" s="111">
        <f>'INCOME STATEMENT '!C14+'INCOME STATEMENT '!C15+'INCOME STATEMENT '!C16</f>
        <v>2401750</v>
      </c>
      <c r="F8" s="111">
        <f>'INCOME STATEMENT '!D14+'INCOME STATEMENT '!D15+'INCOME STATEMENT '!D16</f>
        <v>2401750</v>
      </c>
      <c r="G8" s="111">
        <f>'INCOME STATEMENT '!E14+'INCOME STATEMENT '!E15+'INCOME STATEMENT '!E16</f>
        <v>2330977.5</v>
      </c>
      <c r="H8" s="111">
        <f>'INCOME STATEMENT '!F14+'INCOME STATEMENT '!F15+'INCOME STATEMENT '!F16</f>
        <v>2797173</v>
      </c>
      <c r="I8" s="111">
        <f>'INCOME STATEMENT '!G14+'INCOME STATEMENT '!G15+'INCOME STATEMENT '!G16</f>
        <v>2797173</v>
      </c>
      <c r="J8" s="111">
        <f t="shared" ref="J8:J24" si="0">IF($M$7=$C$46,SUM(E8:I8),IF($E$6=$M$7,E8,IF($F$6=$M$7,F8,IF($G$6=$M$7,G8,IF($H$6=$M$7,H8,I8)))))</f>
        <v>2401750</v>
      </c>
      <c r="K8" s="75"/>
      <c r="L8" s="93">
        <f t="shared" ref="L8:L24" si="1">IFERROR(IF($M$7=$E$6,0,IF($M$7=$F$6,F8/E8-1,IF($M$7=$G$6,G8/F8-1,IF($M$7=$H$6,H8/G8-1,IF($M$7=$I$6,I8/H8-1,""))))),0)</f>
        <v>0</v>
      </c>
    </row>
    <row r="9" spans="2:16" ht="20.25" customHeight="1" x14ac:dyDescent="0.3">
      <c r="B9" s="556"/>
      <c r="C9" s="90"/>
      <c r="D9" s="112" t="s">
        <v>10</v>
      </c>
      <c r="E9" s="113">
        <f t="shared" ref="E9:I9" si="2">E7-E8</f>
        <v>1476625</v>
      </c>
      <c r="F9" s="113">
        <f t="shared" si="2"/>
        <v>1812016.25</v>
      </c>
      <c r="G9" s="113">
        <f t="shared" si="2"/>
        <v>2105409.5750000002</v>
      </c>
      <c r="H9" s="113">
        <f t="shared" si="2"/>
        <v>2252783.3133333325</v>
      </c>
      <c r="I9" s="113">
        <f t="shared" si="2"/>
        <v>2653332.0679166652</v>
      </c>
      <c r="J9" s="111">
        <f t="shared" si="0"/>
        <v>1476625</v>
      </c>
      <c r="K9" s="75"/>
      <c r="L9" s="93">
        <f t="shared" si="1"/>
        <v>0</v>
      </c>
    </row>
    <row r="10" spans="2:16" ht="20.25" customHeight="1" x14ac:dyDescent="0.3">
      <c r="B10" s="556"/>
      <c r="C10" s="85"/>
      <c r="D10" s="112" t="s">
        <v>16</v>
      </c>
      <c r="E10" s="113">
        <f>SUM('INCOME STATEMENT '!C17:C23)+'INCOME STATEMENT '!C26</f>
        <v>1554072.5</v>
      </c>
      <c r="F10" s="113">
        <f>SUM('INCOME STATEMENT '!D17:D23)+'INCOME STATEMENT '!D26</f>
        <v>1509447.5</v>
      </c>
      <c r="G10" s="113">
        <f>SUM('INCOME STATEMENT '!E17:E23)+'INCOME STATEMENT '!E26</f>
        <v>1364158.875</v>
      </c>
      <c r="H10" s="113">
        <f>SUM('INCOME STATEMENT '!F17:F23)+'INCOME STATEMENT '!F26</f>
        <v>1475668.65</v>
      </c>
      <c r="I10" s="113">
        <f>SUM('INCOME STATEMENT '!G17:G23)+'INCOME STATEMENT '!G26</f>
        <v>1412668.65</v>
      </c>
      <c r="J10" s="111">
        <f t="shared" si="0"/>
        <v>1554072.5</v>
      </c>
      <c r="K10" s="76"/>
      <c r="L10" s="93">
        <f t="shared" si="1"/>
        <v>0</v>
      </c>
    </row>
    <row r="11" spans="2:16" ht="20.25" customHeight="1" x14ac:dyDescent="0.3">
      <c r="B11" s="556"/>
      <c r="C11" s="90"/>
      <c r="D11" s="112" t="s">
        <v>528</v>
      </c>
      <c r="E11" s="113">
        <f t="shared" ref="E11:I11" si="3">E9-E10</f>
        <v>-77447.5</v>
      </c>
      <c r="F11" s="113">
        <f t="shared" si="3"/>
        <v>302568.75</v>
      </c>
      <c r="G11" s="113">
        <f t="shared" si="3"/>
        <v>741250.70000000019</v>
      </c>
      <c r="H11" s="113">
        <f t="shared" si="3"/>
        <v>777114.66333333263</v>
      </c>
      <c r="I11" s="113">
        <f t="shared" si="3"/>
        <v>1240663.4179166653</v>
      </c>
      <c r="J11" s="111">
        <f t="shared" si="0"/>
        <v>-77447.5</v>
      </c>
      <c r="K11" s="76"/>
      <c r="L11" s="93">
        <f t="shared" si="1"/>
        <v>0</v>
      </c>
    </row>
    <row r="12" spans="2:16" ht="20.25" customHeight="1" x14ac:dyDescent="0.3">
      <c r="B12" s="556"/>
      <c r="C12" s="85"/>
      <c r="D12" s="110" t="s">
        <v>11</v>
      </c>
      <c r="E12" s="171">
        <f>'INCOME STATEMENT '!C28+'INCOME STATEMENT '!C29</f>
        <v>0</v>
      </c>
      <c r="F12" s="171">
        <f>'INCOME STATEMENT '!D28+'INCOME STATEMENT '!D29</f>
        <v>94401.45</v>
      </c>
      <c r="G12" s="171">
        <f>'INCOME STATEMENT '!E28+'INCOME STATEMENT '!E29</f>
        <v>0</v>
      </c>
      <c r="H12" s="171">
        <f>'INCOME STATEMENT '!F28+'INCOME STATEMENT '!F29</f>
        <v>0</v>
      </c>
      <c r="I12" s="171">
        <f>'INCOME STATEMENT '!G28+'INCOME STATEMENT '!G29</f>
        <v>0</v>
      </c>
      <c r="J12" s="111">
        <f t="shared" si="0"/>
        <v>0</v>
      </c>
      <c r="K12" s="75"/>
      <c r="L12" s="93">
        <f t="shared" si="1"/>
        <v>0</v>
      </c>
      <c r="O12" s="549"/>
    </row>
    <row r="13" spans="2:16" ht="20.25" customHeight="1" x14ac:dyDescent="0.3">
      <c r="B13" s="556"/>
      <c r="C13" s="85"/>
      <c r="D13" s="114" t="s">
        <v>12</v>
      </c>
      <c r="E13" s="115">
        <f t="shared" ref="E13:I13" si="4">E11-E12</f>
        <v>-77447.5</v>
      </c>
      <c r="F13" s="115">
        <f t="shared" si="4"/>
        <v>208167.3</v>
      </c>
      <c r="G13" s="115">
        <f t="shared" si="4"/>
        <v>741250.70000000019</v>
      </c>
      <c r="H13" s="115">
        <f t="shared" si="4"/>
        <v>777114.66333333263</v>
      </c>
      <c r="I13" s="115">
        <f t="shared" si="4"/>
        <v>1240663.4179166653</v>
      </c>
      <c r="J13" s="111">
        <f t="shared" si="0"/>
        <v>-77447.5</v>
      </c>
      <c r="K13" s="76"/>
      <c r="L13" s="93">
        <f>IFERROR(IF($M$7=$E$6,0,IF($M$7=$F$6,-(F13/E13-1),IF($M$7=$G$6,G13/F13-1,IF($M$7=$H$6,H13/G13-1,IF($M$7=$I$6,I13/H13-1,""))))),0)</f>
        <v>0</v>
      </c>
      <c r="O13" s="549"/>
    </row>
    <row r="14" spans="2:16" ht="20.25" customHeight="1" x14ac:dyDescent="0.3">
      <c r="B14" s="556"/>
      <c r="C14" s="90"/>
      <c r="D14" s="110" t="s">
        <v>13</v>
      </c>
      <c r="E14" s="116">
        <f t="shared" ref="E14:I14" si="5">IFERROR(E13/E7,0)</f>
        <v>-1.9969059206497566E-2</v>
      </c>
      <c r="F14" s="116">
        <f t="shared" si="5"/>
        <v>4.940171989844002E-2</v>
      </c>
      <c r="G14" s="116">
        <f t="shared" si="5"/>
        <v>0.16708431601406198</v>
      </c>
      <c r="H14" s="116">
        <f t="shared" si="5"/>
        <v>0.15388542298505178</v>
      </c>
      <c r="I14" s="116">
        <f t="shared" si="5"/>
        <v>0.22762356927610039</v>
      </c>
      <c r="J14" s="123">
        <f t="shared" si="0"/>
        <v>-1.9969059206497566E-2</v>
      </c>
      <c r="K14" s="77"/>
      <c r="L14" s="93">
        <f>IFERROR(IF($M$7=$E$6,0,IF($M$7=$F$6,-(F14/E14-1),IF($M$7=$G$6,G14/F14-1,IF($M$7=$H$6,H14/G14-1,IF($M$7=$I$6,I14/H14-1,""))))),0)</f>
        <v>0</v>
      </c>
      <c r="O14" s="549"/>
    </row>
    <row r="15" spans="2:16" ht="20.25" customHeight="1" thickBot="1" x14ac:dyDescent="0.35">
      <c r="B15" s="556"/>
      <c r="C15" s="91"/>
      <c r="D15" s="117" t="s">
        <v>273</v>
      </c>
      <c r="E15" s="118">
        <f>'INCOME STATEMENT '!C24</f>
        <v>3880822.5</v>
      </c>
      <c r="F15" s="118">
        <f>'INCOME STATEMENT '!D24</f>
        <v>3836197.5</v>
      </c>
      <c r="G15" s="118">
        <f>'INCOME STATEMENT '!E24</f>
        <v>3695136.375</v>
      </c>
      <c r="H15" s="118">
        <f>'INCOME STATEMENT '!F24</f>
        <v>4272841.6500000004</v>
      </c>
      <c r="I15" s="118">
        <f>'INCOME STATEMENT '!G24</f>
        <v>4209841.6500000004</v>
      </c>
      <c r="J15" s="111">
        <f t="shared" si="0"/>
        <v>3880822.5</v>
      </c>
      <c r="K15" s="78"/>
      <c r="L15" s="93">
        <f>IFERROR(IF($M$7=$E$6,0,IF($M$7=$F$6,((F15)/E15-1),IF($M$7=$G$6,((G15)/F15-1),IF($M$7=$H$6,((H15)/G15-1),IF($M$7=$I$6,((I15)/H15-1),""))))),0)</f>
        <v>0</v>
      </c>
      <c r="O15" s="549"/>
    </row>
    <row r="16" spans="2:16" ht="20.25" customHeight="1" x14ac:dyDescent="0.3">
      <c r="B16" s="556"/>
      <c r="C16" s="85"/>
      <c r="D16" s="119" t="str">
        <f>'RATIOS '!C13</f>
        <v xml:space="preserve">ROCE </v>
      </c>
      <c r="E16" s="172">
        <f>'RATIOS '!D13</f>
        <v>-6.5353644669750924E-2</v>
      </c>
      <c r="F16" s="172">
        <f>'RATIOS '!E13</f>
        <v>0.21717230116884648</v>
      </c>
      <c r="G16" s="172">
        <f>'RATIOS '!F13</f>
        <v>0.45351121357038887</v>
      </c>
      <c r="H16" s="172">
        <f>'RATIOS '!G13</f>
        <v>0.32224226419571755</v>
      </c>
      <c r="I16" s="172">
        <f>'RATIOS '!H13</f>
        <v>0.33969851457702338</v>
      </c>
      <c r="J16" s="123">
        <f t="shared" si="0"/>
        <v>-6.5353644669750924E-2</v>
      </c>
      <c r="K16" s="75"/>
      <c r="L16" s="93">
        <f>IFERROR(IF($M$7=$E$6,0,IF($M$7=$F$6,-(F16/E16-1),IF($M$7=$G$6,G16/F16-1,IF($M$7=$H$6,H16/G16-1,IF($M$7=$I$6,I16/H16-1,""))))),0)</f>
        <v>0</v>
      </c>
      <c r="O16" s="549"/>
    </row>
    <row r="17" spans="2:15" ht="20.25" customHeight="1" x14ac:dyDescent="0.3">
      <c r="B17" s="556"/>
      <c r="C17" s="90"/>
      <c r="D17" s="112" t="str">
        <f>'RATIOS '!C20</f>
        <v xml:space="preserve">Net Profit Margin  </v>
      </c>
      <c r="E17" s="174">
        <f>'RATIOS '!D20</f>
        <v>-2.1513194444444446E-2</v>
      </c>
      <c r="F17" s="174">
        <f>'RATIOS '!E20</f>
        <v>5.4809715639810422E-2</v>
      </c>
      <c r="G17" s="174">
        <f>'RATIOS '!F20</f>
        <v>0.18155227353441841</v>
      </c>
      <c r="H17" s="174">
        <f>'RATIOS '!G20</f>
        <v>0.17382312758705235</v>
      </c>
      <c r="I17" s="174">
        <f>'RATIOS '!H20</f>
        <v>0.24888662906660386</v>
      </c>
      <c r="J17" s="121">
        <f t="shared" si="0"/>
        <v>-2.1513194444444446E-2</v>
      </c>
      <c r="K17" s="79"/>
      <c r="L17" s="93">
        <f>IFERROR(IF($M$7=$E$6,0,IF($M$7=$F$6,-(F17/E17-1),IF($M$7=$G$6,G17/F17-1,IF($M$7=$H$6,H17/G17-1,IF($M$7=$I$6,I17/H17-1,""))))),0)</f>
        <v>0</v>
      </c>
      <c r="O17" s="549"/>
    </row>
    <row r="18" spans="2:15" ht="20.25" customHeight="1" x14ac:dyDescent="0.3">
      <c r="B18" s="556"/>
      <c r="C18" s="85"/>
      <c r="D18" s="112" t="str">
        <f>'RATIOS '!C18</f>
        <v xml:space="preserve">Inventory to Working capital </v>
      </c>
      <c r="E18" s="121">
        <f>'RATIOS '!D18</f>
        <v>0.23314521098202426</v>
      </c>
      <c r="F18" s="121">
        <f>'RATIOS '!E18</f>
        <v>0.4936854313235749</v>
      </c>
      <c r="G18" s="121">
        <f>'RATIOS '!F18</f>
        <v>0.63128665102108827</v>
      </c>
      <c r="H18" s="121">
        <f>'RATIOS '!G18</f>
        <v>0.66120574316307934</v>
      </c>
      <c r="I18" s="121">
        <f>'RATIOS '!H18</f>
        <v>0.5568043436956287</v>
      </c>
      <c r="J18" s="121">
        <f t="shared" si="0"/>
        <v>0.23314521098202426</v>
      </c>
      <c r="K18" s="79"/>
      <c r="L18" s="93">
        <f t="shared" si="1"/>
        <v>0</v>
      </c>
      <c r="O18" s="549"/>
    </row>
    <row r="19" spans="2:15" ht="20.25" customHeight="1" x14ac:dyDescent="0.3">
      <c r="B19" s="556"/>
      <c r="C19" s="85"/>
      <c r="D19" s="110" t="str">
        <f>'RATIOS '!C11</f>
        <v xml:space="preserve">Return on Equity </v>
      </c>
      <c r="E19" s="116">
        <f>'RATIOS '!D11</f>
        <v>-0.11305337912057835</v>
      </c>
      <c r="F19" s="116">
        <f>'RATIOS '!E11</f>
        <v>0.23305271558019647</v>
      </c>
      <c r="G19" s="116">
        <f>'RATIOS '!F11</f>
        <v>0.45351121357038876</v>
      </c>
      <c r="H19" s="116">
        <f>'RATIOS '!G11</f>
        <v>0.3222422641957175</v>
      </c>
      <c r="I19" s="116">
        <f>'RATIOS '!H11</f>
        <v>0.33969851457702332</v>
      </c>
      <c r="J19" s="123">
        <f t="shared" si="0"/>
        <v>-0.11305337912057835</v>
      </c>
      <c r="K19" s="75"/>
      <c r="L19" s="93">
        <f>IFERROR(IF($M$7=$E$6,0,IF($M$7=$F$6,-(F19/E19-1),IF($M$7=$G$6,G19/F19-1,IF($M$7=$H$6,H19/G19-1,IF($M$7=$I$6,I19/H19-1,""))))),0)</f>
        <v>0</v>
      </c>
      <c r="O19" s="549"/>
    </row>
    <row r="20" spans="2:15" ht="20.25" customHeight="1" thickBot="1" x14ac:dyDescent="0.35">
      <c r="B20" s="556"/>
      <c r="C20" s="90"/>
      <c r="D20" s="122" t="str">
        <f>'RATIOS '!C9</f>
        <v>EBIT Margin</v>
      </c>
      <c r="E20" s="173">
        <f>'RATIOS '!D9</f>
        <v>-2.1513194444444446E-2</v>
      </c>
      <c r="F20" s="173">
        <f>'RATIOS '!E9</f>
        <v>7.9665284360189575E-2</v>
      </c>
      <c r="G20" s="173">
        <f>'RATIOS '!F9</f>
        <v>0.18155227353441841</v>
      </c>
      <c r="H20" s="173">
        <f>'RATIOS '!G9</f>
        <v>0.17382312758705235</v>
      </c>
      <c r="I20" s="173">
        <f>'RATIOS '!H9</f>
        <v>0.24888662906660386</v>
      </c>
      <c r="J20" s="123">
        <f t="shared" si="0"/>
        <v>-2.1513194444444446E-2</v>
      </c>
      <c r="K20" s="76"/>
      <c r="L20" s="93">
        <f>IFERROR(IF($M$7=$E$6,0,IF($M$7=$F$6,-(F20/E20-1),IF($M$7=$G$6,G20/F20-1,IF($M$7=$H$6,H20/G20-1,IF($M$7=$I$6,(I20/H20-1),""))))),0)</f>
        <v>0</v>
      </c>
      <c r="O20" s="549"/>
    </row>
    <row r="21" spans="2:15" ht="20.25" customHeight="1" x14ac:dyDescent="0.3">
      <c r="B21" s="556"/>
      <c r="C21" s="90"/>
      <c r="D21" s="114" t="s">
        <v>18</v>
      </c>
      <c r="E21" s="120">
        <f>'COST SHEET '!I34</f>
        <v>3600000</v>
      </c>
      <c r="F21" s="120">
        <f>'COST SHEET '!M34</f>
        <v>3800000</v>
      </c>
      <c r="G21" s="120">
        <f>'COST SHEET '!Q34</f>
        <v>4084000</v>
      </c>
      <c r="H21" s="120">
        <f>'COST SHEET '!U34</f>
        <v>4472000</v>
      </c>
      <c r="I21" s="120">
        <f>'COST SHEET '!Y34</f>
        <v>4984000</v>
      </c>
      <c r="J21" s="111">
        <f t="shared" si="0"/>
        <v>3600000</v>
      </c>
      <c r="K21" s="75"/>
      <c r="L21" s="93">
        <f t="shared" si="1"/>
        <v>0</v>
      </c>
    </row>
    <row r="22" spans="2:15" ht="20.25" customHeight="1" x14ac:dyDescent="0.3">
      <c r="B22" s="556"/>
      <c r="C22" s="85"/>
      <c r="D22" s="110" t="s">
        <v>20</v>
      </c>
      <c r="E22" s="123">
        <f t="shared" ref="E22:I22" si="6">IFERROR(IF(E21="","",E7/E21),0)</f>
        <v>1.0773263888888889</v>
      </c>
      <c r="F22" s="123">
        <f t="shared" si="6"/>
        <v>1.108885855263158</v>
      </c>
      <c r="G22" s="123">
        <f t="shared" si="6"/>
        <v>1.0862847881978452</v>
      </c>
      <c r="H22" s="123">
        <f t="shared" si="6"/>
        <v>1.1292388893858079</v>
      </c>
      <c r="I22" s="123">
        <f t="shared" si="6"/>
        <v>1.0936005352962812</v>
      </c>
      <c r="J22" s="123">
        <f t="shared" si="0"/>
        <v>1.0773263888888889</v>
      </c>
      <c r="K22" s="80"/>
      <c r="L22" s="93">
        <f t="shared" si="1"/>
        <v>0</v>
      </c>
    </row>
    <row r="23" spans="2:15" ht="20.25" customHeight="1" x14ac:dyDescent="0.3">
      <c r="B23" s="556"/>
      <c r="C23" s="90"/>
      <c r="D23" s="110" t="s">
        <v>19</v>
      </c>
      <c r="E23" s="113">
        <f>'COST SHEET '!I32</f>
        <v>3406575</v>
      </c>
      <c r="F23" s="113">
        <f>'COST SHEET '!M32</f>
        <v>3514762.5</v>
      </c>
      <c r="G23" s="113">
        <f>'COST SHEET '!Q32</f>
        <v>3574470.0274999999</v>
      </c>
      <c r="H23" s="113">
        <f>'COST SHEET '!U32</f>
        <v>3507012.4366666665</v>
      </c>
      <c r="I23" s="113">
        <f>'COST SHEET '!Y32</f>
        <v>3569034.0683333334</v>
      </c>
      <c r="J23" s="113">
        <f t="shared" si="0"/>
        <v>3406575</v>
      </c>
      <c r="K23" s="76"/>
      <c r="L23" s="93">
        <f t="shared" si="1"/>
        <v>0</v>
      </c>
    </row>
    <row r="24" spans="2:15" ht="20.25" customHeight="1" x14ac:dyDescent="0.3">
      <c r="B24" s="556"/>
      <c r="C24" s="85"/>
      <c r="D24" s="110" t="s">
        <v>21</v>
      </c>
      <c r="E24" s="123">
        <f t="shared" ref="E24" si="7">IFERROR(IF(E23="","",E15/E23),0)</f>
        <v>1.1392153409216002</v>
      </c>
      <c r="F24" s="123">
        <f t="shared" ref="F24" si="8">IFERROR(IF(F23="","",F15/F23),0)</f>
        <v>1.091452836429204</v>
      </c>
      <c r="G24" s="123">
        <f t="shared" ref="G24:I24" si="9">IFERROR(IF(G23="","",G15/G23),0)</f>
        <v>1.0337578288729965</v>
      </c>
      <c r="H24" s="123">
        <f t="shared" si="9"/>
        <v>1.2183708290641926</v>
      </c>
      <c r="I24" s="123">
        <f t="shared" si="9"/>
        <v>1.1795465017698503</v>
      </c>
      <c r="J24" s="123">
        <f t="shared" si="0"/>
        <v>1.1392153409216002</v>
      </c>
      <c r="K24" s="80"/>
      <c r="L24" s="93">
        <f t="shared" si="1"/>
        <v>0</v>
      </c>
    </row>
    <row r="25" spans="2:15" ht="20.25" customHeight="1" x14ac:dyDescent="0.3">
      <c r="B25" s="2"/>
      <c r="C25" s="85"/>
      <c r="D25" s="86"/>
      <c r="E25" s="87"/>
      <c r="F25" s="87"/>
      <c r="G25" s="87"/>
      <c r="H25" s="87"/>
      <c r="I25" s="87"/>
      <c r="J25" s="87"/>
      <c r="K25" s="87"/>
      <c r="L25" s="72"/>
    </row>
    <row r="26" spans="2:15" ht="20.25" customHeight="1" x14ac:dyDescent="0.3">
      <c r="B26" s="2"/>
      <c r="C26" s="85"/>
      <c r="D26" s="86"/>
      <c r="E26" s="87"/>
      <c r="F26" s="87"/>
      <c r="G26" s="87"/>
      <c r="H26" s="87"/>
      <c r="I26" s="87"/>
      <c r="J26" s="87"/>
      <c r="K26" s="87"/>
      <c r="L26" s="72"/>
    </row>
    <row r="27" spans="2:15" ht="20.25" customHeight="1" x14ac:dyDescent="0.3">
      <c r="B27" s="2"/>
      <c r="C27" s="85"/>
      <c r="D27" s="86"/>
      <c r="E27" s="87"/>
      <c r="F27" s="87"/>
      <c r="G27" s="87"/>
      <c r="H27" s="87"/>
      <c r="I27" s="87"/>
      <c r="J27" s="87"/>
      <c r="K27" s="87"/>
      <c r="L27" s="72"/>
    </row>
    <row r="28" spans="2:15" ht="20.25" customHeight="1" x14ac:dyDescent="0.3">
      <c r="B28" s="2"/>
      <c r="C28" s="85"/>
      <c r="D28" s="86"/>
      <c r="E28" s="87"/>
      <c r="F28" s="87"/>
      <c r="G28" s="87"/>
      <c r="H28" s="87"/>
      <c r="I28" s="87"/>
      <c r="J28" s="87"/>
      <c r="K28" s="87"/>
      <c r="L28" s="72"/>
    </row>
    <row r="29" spans="2:15" ht="20.25" customHeight="1" x14ac:dyDescent="0.3">
      <c r="B29" s="2"/>
      <c r="C29" s="85"/>
      <c r="D29" s="86"/>
      <c r="E29" s="87"/>
      <c r="F29" s="87"/>
      <c r="G29" s="87"/>
      <c r="H29" s="87"/>
      <c r="I29" s="87"/>
      <c r="J29" s="87"/>
      <c r="K29" s="87"/>
      <c r="L29" s="72"/>
    </row>
    <row r="30" spans="2:15" ht="20.25" customHeight="1" x14ac:dyDescent="0.3">
      <c r="B30" s="2"/>
      <c r="C30" s="85"/>
      <c r="D30" s="86"/>
      <c r="E30" s="87"/>
      <c r="F30" s="87"/>
      <c r="G30" s="87"/>
      <c r="H30" s="87"/>
      <c r="I30" s="87"/>
      <c r="J30" s="87"/>
      <c r="K30" s="87"/>
      <c r="L30" s="72"/>
    </row>
    <row r="31" spans="2:15" ht="24" customHeight="1" x14ac:dyDescent="0.3"/>
    <row r="32" spans="2:15" ht="24" customHeight="1" x14ac:dyDescent="0.3">
      <c r="D32" s="554" t="s">
        <v>17</v>
      </c>
      <c r="E32" s="555"/>
      <c r="F32" s="58">
        <v>0.14000000000000001</v>
      </c>
    </row>
    <row r="33" spans="3:14" ht="24" customHeight="1" x14ac:dyDescent="0.3">
      <c r="J33" s="36"/>
      <c r="K33" s="74"/>
      <c r="N33" s="1"/>
    </row>
    <row r="37" spans="3:14" x14ac:dyDescent="0.3">
      <c r="C37" s="552" t="str">
        <f>D15</f>
        <v>Expenses</v>
      </c>
      <c r="D37" s="552"/>
      <c r="E37" s="4"/>
      <c r="F37" s="4"/>
      <c r="G37" s="4">
        <f t="shared" ref="G37:J37" si="10">-G15</f>
        <v>-3695136.375</v>
      </c>
      <c r="H37" s="4">
        <f t="shared" si="10"/>
        <v>-4272841.6500000004</v>
      </c>
      <c r="I37" s="4">
        <f t="shared" si="10"/>
        <v>-4209841.6500000004</v>
      </c>
      <c r="J37" s="4">
        <f t="shared" si="10"/>
        <v>-3880822.5</v>
      </c>
      <c r="K37" s="81"/>
    </row>
    <row r="40" spans="3:14" x14ac:dyDescent="0.3">
      <c r="C40" s="53" t="s">
        <v>5</v>
      </c>
    </row>
    <row r="41" spans="3:14" ht="16.8" x14ac:dyDescent="0.3">
      <c r="C41" s="124" t="s">
        <v>289</v>
      </c>
    </row>
    <row r="42" spans="3:14" ht="16.8" x14ac:dyDescent="0.3">
      <c r="C42" s="124" t="s">
        <v>290</v>
      </c>
    </row>
    <row r="43" spans="3:14" ht="16.8" x14ac:dyDescent="0.3">
      <c r="C43" s="124" t="s">
        <v>291</v>
      </c>
    </row>
    <row r="44" spans="3:14" ht="16.8" x14ac:dyDescent="0.3">
      <c r="C44" s="124" t="s">
        <v>292</v>
      </c>
    </row>
    <row r="45" spans="3:14" ht="16.8" x14ac:dyDescent="0.3">
      <c r="C45" s="124" t="s">
        <v>293</v>
      </c>
    </row>
    <row r="46" spans="3:14" ht="16.8" x14ac:dyDescent="0.3">
      <c r="C46" s="124" t="s">
        <v>14</v>
      </c>
    </row>
  </sheetData>
  <mergeCells count="6">
    <mergeCell ref="C37:D37"/>
    <mergeCell ref="B1:L1"/>
    <mergeCell ref="D32:E32"/>
    <mergeCell ref="B7:B15"/>
    <mergeCell ref="B16:B20"/>
    <mergeCell ref="B21:B24"/>
  </mergeCells>
  <pageMargins left="0.25" right="0.25" top="0.75" bottom="0.75" header="0.3" footer="0.3"/>
  <pageSetup scale="69" orientation="landscape" r:id="rId1"/>
  <colBreaks count="1" manualBreakCount="1">
    <brk id="11" max="36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L113"/>
  <sheetViews>
    <sheetView showGridLines="0" zoomScale="67" zoomScaleNormal="67" workbookViewId="0">
      <selection activeCell="W5" sqref="W5"/>
    </sheetView>
  </sheetViews>
  <sheetFormatPr defaultColWidth="11.44140625" defaultRowHeight="13.8" x14ac:dyDescent="0.3"/>
  <cols>
    <col min="1" max="1" width="1.5546875" style="450" customWidth="1"/>
    <col min="2" max="3" width="10.44140625" style="450" customWidth="1"/>
    <col min="4" max="4" width="23.33203125" style="450" customWidth="1"/>
    <col min="5" max="5" width="6" style="450" customWidth="1"/>
    <col min="6" max="7" width="10.44140625" style="450" customWidth="1"/>
    <col min="8" max="8" width="18.6640625" style="450" customWidth="1"/>
    <col min="9" max="9" width="5.109375" style="181" customWidth="1"/>
    <col min="10" max="10" width="10.44140625" style="450" customWidth="1"/>
    <col min="11" max="11" width="7.6640625" style="450" customWidth="1"/>
    <col min="12" max="12" width="15.109375" style="450" customWidth="1"/>
    <col min="13" max="13" width="4.77734375" style="181" customWidth="1"/>
    <col min="14" max="15" width="10.44140625" style="450" customWidth="1"/>
    <col min="16" max="16" width="20.5546875" style="450" customWidth="1"/>
    <col min="17" max="17" width="6.33203125" style="450" customWidth="1"/>
    <col min="18" max="19" width="10.44140625" style="450" customWidth="1"/>
    <col min="20" max="20" width="6.6640625" style="450" customWidth="1"/>
    <col min="21" max="21" width="15.6640625" style="450" customWidth="1"/>
    <col min="22" max="22" width="4.77734375" style="450" customWidth="1"/>
    <col min="23" max="23" width="18.6640625" style="450" customWidth="1"/>
    <col min="24" max="24" width="18.33203125" style="490" customWidth="1"/>
    <col min="25" max="25" width="10.33203125" style="490" customWidth="1"/>
    <col min="26" max="26" width="11.44140625" style="490" hidden="1" customWidth="1"/>
    <col min="27" max="32" width="11.44140625" style="490"/>
    <col min="33" max="16384" width="11.44140625" style="450"/>
  </cols>
  <sheetData>
    <row r="1" spans="1:38" ht="6.75" customHeight="1" x14ac:dyDescent="0.3">
      <c r="A1" s="181"/>
      <c r="B1" s="181"/>
      <c r="C1" s="181"/>
      <c r="D1" s="181"/>
      <c r="E1" s="181"/>
      <c r="F1" s="181"/>
      <c r="G1" s="181"/>
      <c r="H1" s="181"/>
      <c r="J1" s="181"/>
      <c r="K1" s="181"/>
      <c r="L1" s="181"/>
      <c r="N1" s="181"/>
      <c r="O1" s="181"/>
      <c r="P1" s="181"/>
      <c r="Q1" s="181"/>
      <c r="R1" s="181"/>
      <c r="S1" s="181"/>
      <c r="T1" s="181"/>
      <c r="U1" s="181"/>
      <c r="V1" s="181"/>
      <c r="W1" s="574"/>
    </row>
    <row r="2" spans="1:38" ht="7.5" customHeight="1" x14ac:dyDescent="0.3">
      <c r="A2" s="181"/>
      <c r="B2" s="603"/>
      <c r="C2" s="603"/>
      <c r="D2" s="603"/>
      <c r="E2" s="603"/>
      <c r="F2" s="603"/>
      <c r="G2" s="603"/>
      <c r="H2" s="181"/>
      <c r="J2" s="181"/>
      <c r="K2" s="181"/>
      <c r="L2" s="181"/>
      <c r="N2" s="181"/>
      <c r="O2" s="181"/>
      <c r="P2" s="181"/>
      <c r="Q2" s="181"/>
      <c r="R2" s="575"/>
      <c r="S2" s="575"/>
      <c r="T2" s="491"/>
      <c r="U2" s="492"/>
      <c r="V2" s="492"/>
      <c r="W2" s="574"/>
    </row>
    <row r="3" spans="1:38" ht="6.75" customHeight="1" x14ac:dyDescent="0.3">
      <c r="A3" s="181"/>
      <c r="B3" s="181"/>
      <c r="C3" s="181"/>
      <c r="D3" s="181"/>
      <c r="E3" s="181"/>
      <c r="F3" s="181"/>
      <c r="G3" s="181"/>
      <c r="H3" s="181"/>
      <c r="J3" s="181"/>
      <c r="K3" s="181"/>
      <c r="L3" s="181"/>
      <c r="N3" s="181"/>
      <c r="O3" s="181"/>
      <c r="P3" s="181"/>
      <c r="Q3" s="181"/>
      <c r="R3" s="181"/>
      <c r="S3" s="181"/>
      <c r="T3" s="181"/>
      <c r="U3" s="181"/>
      <c r="V3" s="492"/>
      <c r="W3" s="574"/>
      <c r="AK3" s="492" t="e">
        <f>+#REF!</f>
        <v>#REF!</v>
      </c>
      <c r="AL3" s="493">
        <f>+data!J14</f>
        <v>-1.9969059206497566E-2</v>
      </c>
    </row>
    <row r="4" spans="1:38" ht="9" customHeight="1" thickBot="1" x14ac:dyDescent="0.35">
      <c r="A4" s="181"/>
      <c r="B4" s="181"/>
      <c r="C4" s="181"/>
      <c r="D4" s="181"/>
      <c r="E4" s="181"/>
      <c r="F4" s="181"/>
      <c r="G4" s="181"/>
      <c r="H4" s="181"/>
      <c r="J4" s="181"/>
      <c r="K4" s="181"/>
      <c r="L4" s="181"/>
      <c r="N4" s="181"/>
      <c r="O4" s="181"/>
      <c r="P4" s="181"/>
      <c r="Q4" s="181"/>
      <c r="R4" s="181"/>
      <c r="S4" s="181"/>
      <c r="T4" s="181"/>
      <c r="U4" s="181"/>
      <c r="V4" s="492"/>
      <c r="W4" s="574"/>
      <c r="X4" s="557"/>
      <c r="Y4" s="558"/>
      <c r="AK4" s="492">
        <f>+data!J14</f>
        <v>-1.9969059206497566E-2</v>
      </c>
      <c r="AL4" s="494" t="e">
        <f>+#REF!</f>
        <v>#REF!</v>
      </c>
    </row>
    <row r="5" spans="1:38" s="181" customFormat="1" ht="27" customHeight="1" thickBot="1" x14ac:dyDescent="0.35">
      <c r="B5" s="565" t="s">
        <v>275</v>
      </c>
      <c r="C5" s="566"/>
      <c r="D5" s="566"/>
      <c r="E5" s="566"/>
      <c r="F5" s="566"/>
      <c r="G5" s="566"/>
      <c r="H5" s="567"/>
      <c r="I5" s="495"/>
      <c r="J5" s="565" t="s">
        <v>274</v>
      </c>
      <c r="K5" s="566"/>
      <c r="L5" s="567"/>
      <c r="M5" s="495"/>
      <c r="N5" s="565" t="s">
        <v>443</v>
      </c>
      <c r="O5" s="566"/>
      <c r="P5" s="566"/>
      <c r="Q5" s="566"/>
      <c r="R5" s="566"/>
      <c r="S5" s="566"/>
      <c r="T5" s="566"/>
      <c r="U5" s="567"/>
      <c r="V5" s="492"/>
      <c r="W5" s="496" t="s">
        <v>289</v>
      </c>
      <c r="X5" s="497"/>
      <c r="Y5" s="497"/>
      <c r="Z5" s="490"/>
      <c r="AA5" s="490"/>
      <c r="AB5" s="490"/>
      <c r="AC5" s="490"/>
      <c r="AD5" s="490"/>
      <c r="AE5" s="490"/>
      <c r="AF5" s="490"/>
      <c r="AK5" s="492"/>
      <c r="AL5" s="498"/>
    </row>
    <row r="6" spans="1:38" s="181" customFormat="1" ht="11.25" customHeight="1" x14ac:dyDescent="0.3">
      <c r="B6" s="534"/>
      <c r="C6" s="535"/>
      <c r="D6" s="535"/>
      <c r="E6" s="535"/>
      <c r="F6" s="535"/>
      <c r="G6" s="535"/>
      <c r="H6" s="536"/>
      <c r="J6"/>
      <c r="K6"/>
      <c r="L6"/>
      <c r="N6" s="543"/>
      <c r="O6" s="544"/>
      <c r="P6" s="544"/>
      <c r="Q6" s="544"/>
      <c r="R6" s="544"/>
      <c r="S6" s="544"/>
      <c r="T6" s="544"/>
      <c r="U6" s="545"/>
      <c r="V6" s="492"/>
      <c r="W6" s="492"/>
      <c r="X6" s="490"/>
      <c r="Y6" s="490"/>
      <c r="Z6" s="490"/>
      <c r="AA6" s="490"/>
      <c r="AB6" s="490"/>
      <c r="AC6" s="490"/>
      <c r="AD6" s="490"/>
      <c r="AE6" s="490"/>
      <c r="AF6" s="490"/>
    </row>
    <row r="7" spans="1:38" ht="37.5" customHeight="1" x14ac:dyDescent="0.3">
      <c r="A7" s="499"/>
      <c r="B7" s="511"/>
      <c r="C7" s="500"/>
      <c r="D7" s="500"/>
      <c r="E7" s="500"/>
      <c r="F7" s="500"/>
      <c r="G7" s="500"/>
      <c r="H7" s="512"/>
      <c r="J7" s="604"/>
      <c r="K7" s="604"/>
      <c r="L7" s="604"/>
      <c r="N7" s="433"/>
      <c r="O7"/>
      <c r="P7"/>
      <c r="Q7"/>
      <c r="R7"/>
      <c r="S7"/>
      <c r="T7"/>
      <c r="U7" s="434"/>
      <c r="V7" s="492"/>
      <c r="W7" s="492"/>
    </row>
    <row r="8" spans="1:38" ht="27.75" customHeight="1" x14ac:dyDescent="0.3">
      <c r="A8" s="181"/>
      <c r="B8" s="511"/>
      <c r="C8" s="500"/>
      <c r="D8" s="500"/>
      <c r="E8" s="500"/>
      <c r="F8" s="500"/>
      <c r="G8" s="500"/>
      <c r="H8" s="512"/>
      <c r="J8" s="604"/>
      <c r="K8" s="604"/>
      <c r="L8" s="604"/>
      <c r="N8" s="433"/>
      <c r="O8"/>
      <c r="P8"/>
      <c r="Q8"/>
      <c r="R8"/>
      <c r="S8"/>
      <c r="T8"/>
      <c r="U8" s="434"/>
      <c r="V8" s="492"/>
      <c r="W8" s="492"/>
    </row>
    <row r="9" spans="1:38" ht="6" customHeight="1" x14ac:dyDescent="0.3">
      <c r="A9" s="181"/>
      <c r="B9" s="511"/>
      <c r="C9" s="500"/>
      <c r="D9" s="500"/>
      <c r="E9" s="500"/>
      <c r="F9" s="500"/>
      <c r="G9" s="500"/>
      <c r="H9" s="512"/>
      <c r="J9" s="604"/>
      <c r="K9" s="604"/>
      <c r="L9" s="604"/>
      <c r="N9" s="433"/>
      <c r="O9"/>
      <c r="P9"/>
      <c r="Q9"/>
      <c r="R9"/>
      <c r="S9"/>
      <c r="T9"/>
      <c r="U9" s="434"/>
      <c r="V9" s="492"/>
      <c r="W9" s="492"/>
    </row>
    <row r="10" spans="1:38" ht="21" customHeight="1" x14ac:dyDescent="0.3">
      <c r="A10" s="181"/>
      <c r="B10" s="511"/>
      <c r="C10" s="500"/>
      <c r="D10" s="500"/>
      <c r="E10" s="500"/>
      <c r="F10" s="500"/>
      <c r="G10" s="500"/>
      <c r="H10" s="512"/>
      <c r="J10" s="604"/>
      <c r="K10" s="604"/>
      <c r="L10" s="604"/>
      <c r="N10" s="433"/>
      <c r="O10"/>
      <c r="P10"/>
      <c r="Q10"/>
      <c r="R10"/>
      <c r="S10"/>
      <c r="T10"/>
      <c r="U10" s="434"/>
      <c r="V10" s="492"/>
      <c r="W10" s="490"/>
      <c r="AB10" s="490">
        <f>data!J21</f>
        <v>3600000</v>
      </c>
    </row>
    <row r="11" spans="1:38" s="181" customFormat="1" ht="4.5" customHeight="1" x14ac:dyDescent="0.3">
      <c r="B11" s="511"/>
      <c r="C11" s="500"/>
      <c r="D11" s="500"/>
      <c r="E11" s="500"/>
      <c r="F11" s="500"/>
      <c r="G11" s="500"/>
      <c r="H11" s="512"/>
      <c r="J11" s="604"/>
      <c r="K11" s="604"/>
      <c r="L11" s="604"/>
      <c r="N11" s="433"/>
      <c r="O11"/>
      <c r="P11"/>
      <c r="Q11"/>
      <c r="R11"/>
      <c r="S11"/>
      <c r="T11"/>
      <c r="U11" s="434"/>
      <c r="V11" s="492"/>
      <c r="X11" s="490"/>
      <c r="Y11" s="490"/>
      <c r="Z11" s="490"/>
      <c r="AA11" s="490"/>
      <c r="AB11" s="490"/>
      <c r="AC11" s="490"/>
      <c r="AD11" s="490"/>
      <c r="AE11" s="490"/>
      <c r="AF11" s="490"/>
    </row>
    <row r="12" spans="1:38" ht="24" customHeight="1" x14ac:dyDescent="0.3">
      <c r="A12" s="181"/>
      <c r="B12" s="511"/>
      <c r="C12" s="500"/>
      <c r="D12" s="500"/>
      <c r="E12" s="500"/>
      <c r="F12" s="500"/>
      <c r="G12" s="500"/>
      <c r="H12" s="512"/>
      <c r="J12"/>
      <c r="K12"/>
      <c r="L12"/>
      <c r="N12" s="433"/>
      <c r="O12"/>
      <c r="P12"/>
      <c r="Q12"/>
      <c r="R12"/>
      <c r="S12"/>
      <c r="T12"/>
      <c r="U12" s="434"/>
      <c r="V12" s="492"/>
      <c r="W12" s="492"/>
    </row>
    <row r="13" spans="1:38" ht="24" customHeight="1" x14ac:dyDescent="0.3">
      <c r="A13" s="181"/>
      <c r="B13" s="511"/>
      <c r="C13" s="500"/>
      <c r="D13" s="500"/>
      <c r="E13" s="500"/>
      <c r="F13" s="500"/>
      <c r="G13" s="500"/>
      <c r="H13" s="512"/>
      <c r="J13"/>
      <c r="K13"/>
      <c r="L13"/>
      <c r="N13" s="433"/>
      <c r="O13"/>
      <c r="P13"/>
      <c r="Q13"/>
      <c r="R13"/>
      <c r="S13"/>
      <c r="T13"/>
      <c r="U13" s="434"/>
      <c r="V13" s="492"/>
      <c r="W13" s="492"/>
      <c r="AB13" s="490">
        <f>B17-AB10</f>
        <v>278375</v>
      </c>
    </row>
    <row r="14" spans="1:38" ht="31.8" customHeight="1" thickBot="1" x14ac:dyDescent="0.35">
      <c r="A14" s="181"/>
      <c r="B14" s="537"/>
      <c r="C14" s="538"/>
      <c r="D14" s="538"/>
      <c r="E14" s="538"/>
      <c r="F14" s="538"/>
      <c r="G14" s="538"/>
      <c r="H14" s="539"/>
      <c r="J14"/>
      <c r="K14"/>
      <c r="L14"/>
      <c r="N14" s="546"/>
      <c r="O14" s="547"/>
      <c r="P14" s="547"/>
      <c r="Q14" s="547"/>
      <c r="R14" s="547"/>
      <c r="S14" s="547"/>
      <c r="T14" s="547"/>
      <c r="U14" s="548"/>
      <c r="V14" s="492"/>
      <c r="W14" s="492"/>
    </row>
    <row r="15" spans="1:38" ht="22.5" customHeight="1" thickBot="1" x14ac:dyDescent="0.35">
      <c r="A15" s="181"/>
      <c r="B15" s="565" t="str">
        <f>+data!D7</f>
        <v>Income</v>
      </c>
      <c r="C15" s="566"/>
      <c r="D15" s="567"/>
      <c r="E15" s="501"/>
      <c r="F15" s="565" t="str">
        <f>+data!D15</f>
        <v>Expenses</v>
      </c>
      <c r="G15" s="566"/>
      <c r="H15" s="567"/>
      <c r="I15" s="502"/>
      <c r="J15" s="565" t="s">
        <v>20</v>
      </c>
      <c r="K15" s="566"/>
      <c r="L15" s="567"/>
      <c r="M15" s="502"/>
      <c r="N15" s="565" t="str">
        <f>+data!D19</f>
        <v xml:space="preserve">Return on Equity </v>
      </c>
      <c r="O15" s="566"/>
      <c r="P15" s="567"/>
      <c r="Q15" s="503"/>
      <c r="R15" s="568" t="str">
        <f>+data!D20</f>
        <v>EBIT Margin</v>
      </c>
      <c r="S15" s="569"/>
      <c r="T15" s="569"/>
      <c r="U15" s="570"/>
      <c r="V15" s="492"/>
      <c r="W15" s="492"/>
    </row>
    <row r="16" spans="1:38" ht="6.6" customHeight="1" thickBot="1" x14ac:dyDescent="0.35">
      <c r="A16" s="181"/>
      <c r="B16" s="504"/>
      <c r="C16" s="505"/>
      <c r="D16" s="505"/>
      <c r="E16" s="501"/>
      <c r="F16" s="505"/>
      <c r="G16" s="505"/>
      <c r="H16" s="505"/>
      <c r="I16" s="506"/>
      <c r="J16" s="505"/>
      <c r="K16" s="505"/>
      <c r="L16" s="505"/>
      <c r="M16" s="506"/>
      <c r="N16" s="540"/>
      <c r="O16" s="541"/>
      <c r="P16" s="542"/>
      <c r="Q16" s="503"/>
      <c r="R16" s="505"/>
      <c r="S16" s="505"/>
      <c r="T16" s="505"/>
      <c r="U16" s="507"/>
      <c r="V16" s="492"/>
      <c r="W16" s="492"/>
    </row>
    <row r="17" spans="1:32" ht="24" customHeight="1" x14ac:dyDescent="0.3">
      <c r="A17" s="181"/>
      <c r="B17" s="576">
        <f>data!J7</f>
        <v>3878375</v>
      </c>
      <c r="C17" s="577"/>
      <c r="D17" s="578"/>
      <c r="E17" s="181"/>
      <c r="F17" s="576">
        <f>data!J15</f>
        <v>3880822.5</v>
      </c>
      <c r="G17" s="577"/>
      <c r="H17" s="578"/>
      <c r="I17" s="508"/>
      <c r="J17" s="534"/>
      <c r="K17" s="535"/>
      <c r="L17" s="536"/>
      <c r="N17" s="582">
        <f>data!J19</f>
        <v>-0.11305337912057835</v>
      </c>
      <c r="O17" s="583"/>
      <c r="P17" s="584"/>
      <c r="Q17" s="509"/>
      <c r="R17" s="588">
        <f>data!J20</f>
        <v>-2.1513194444444446E-2</v>
      </c>
      <c r="S17" s="589"/>
      <c r="T17" s="589"/>
      <c r="U17" s="590"/>
      <c r="V17" s="492"/>
      <c r="W17" s="492"/>
    </row>
    <row r="18" spans="1:32" ht="28.5" customHeight="1" x14ac:dyDescent="0.3">
      <c r="A18" s="181"/>
      <c r="B18" s="579"/>
      <c r="C18" s="580"/>
      <c r="D18" s="581"/>
      <c r="E18" s="181"/>
      <c r="F18" s="579"/>
      <c r="G18" s="580"/>
      <c r="H18" s="581"/>
      <c r="I18" s="508"/>
      <c r="J18" s="511"/>
      <c r="K18" s="500"/>
      <c r="L18" s="512"/>
      <c r="N18" s="585"/>
      <c r="O18" s="586"/>
      <c r="P18" s="587"/>
      <c r="Q18" s="509"/>
      <c r="R18" s="585"/>
      <c r="S18" s="586"/>
      <c r="T18" s="586"/>
      <c r="U18" s="587"/>
      <c r="V18" s="492"/>
      <c r="W18" s="492"/>
    </row>
    <row r="19" spans="1:32" ht="24" customHeight="1" x14ac:dyDescent="0.3">
      <c r="A19" s="181"/>
      <c r="B19" s="559"/>
      <c r="C19" s="560"/>
      <c r="D19" s="561"/>
      <c r="E19" s="181"/>
      <c r="F19" s="562"/>
      <c r="G19" s="563"/>
      <c r="H19" s="564"/>
      <c r="I19" s="510"/>
      <c r="J19" s="511"/>
      <c r="K19" s="500"/>
      <c r="L19" s="512"/>
      <c r="N19" s="571"/>
      <c r="O19" s="572"/>
      <c r="P19" s="573"/>
      <c r="Q19" s="181"/>
      <c r="R19" s="571"/>
      <c r="S19" s="572"/>
      <c r="T19" s="572"/>
      <c r="U19" s="573"/>
      <c r="V19" s="492"/>
      <c r="W19" s="492"/>
    </row>
    <row r="20" spans="1:32" s="500" customFormat="1" ht="36.6" customHeight="1" thickBot="1" x14ac:dyDescent="0.35">
      <c r="A20" s="181"/>
      <c r="B20" s="537"/>
      <c r="C20" s="538"/>
      <c r="D20" s="539"/>
      <c r="E20" s="181"/>
      <c r="F20" s="537"/>
      <c r="G20" s="538"/>
      <c r="H20" s="539"/>
      <c r="I20" s="181"/>
      <c r="J20" s="537"/>
      <c r="K20" s="538"/>
      <c r="L20" s="539"/>
      <c r="M20" s="181"/>
      <c r="N20" s="537"/>
      <c r="O20" s="538"/>
      <c r="P20" s="539"/>
      <c r="Q20" s="181"/>
      <c r="R20" s="537"/>
      <c r="S20" s="538"/>
      <c r="T20" s="538"/>
      <c r="U20" s="539"/>
      <c r="V20" s="492"/>
      <c r="W20" s="492"/>
      <c r="X20" s="490"/>
      <c r="Y20" s="490"/>
      <c r="Z20" s="490"/>
      <c r="AA20" s="490"/>
      <c r="AB20" s="490"/>
      <c r="AC20" s="490"/>
      <c r="AD20" s="490"/>
      <c r="AE20" s="490"/>
      <c r="AF20" s="490"/>
    </row>
    <row r="21" spans="1:32" s="513" customFormat="1" ht="6" customHeight="1" thickBot="1" x14ac:dyDescent="0.35">
      <c r="B21" s="514"/>
      <c r="U21" s="515"/>
      <c r="X21" s="490"/>
      <c r="Y21" s="490"/>
      <c r="Z21" s="490"/>
      <c r="AA21" s="490"/>
      <c r="AB21" s="490"/>
      <c r="AC21" s="490"/>
      <c r="AD21" s="490"/>
      <c r="AE21" s="490"/>
      <c r="AF21" s="490"/>
    </row>
    <row r="22" spans="1:32" ht="31.8" customHeight="1" thickBot="1" x14ac:dyDescent="0.35">
      <c r="A22" s="181"/>
      <c r="B22" s="565" t="str">
        <f>+data!D13</f>
        <v xml:space="preserve">Net Profit   </v>
      </c>
      <c r="C22" s="566"/>
      <c r="D22" s="567"/>
      <c r="E22" s="501"/>
      <c r="F22" s="565" t="str">
        <f>+data!D16</f>
        <v xml:space="preserve">ROCE </v>
      </c>
      <c r="G22" s="566"/>
      <c r="H22" s="567"/>
      <c r="I22" s="502"/>
      <c r="J22" s="565" t="s">
        <v>21</v>
      </c>
      <c r="K22" s="566"/>
      <c r="L22" s="567"/>
      <c r="M22" s="502"/>
      <c r="N22" s="565" t="str">
        <f>+data!D17</f>
        <v xml:space="preserve">Net Profit Margin  </v>
      </c>
      <c r="O22" s="566"/>
      <c r="P22" s="567"/>
      <c r="Q22" s="503"/>
      <c r="R22" s="565" t="str">
        <f>+data!D18</f>
        <v xml:space="preserve">Inventory to Working capital </v>
      </c>
      <c r="S22" s="566"/>
      <c r="T22" s="566"/>
      <c r="U22" s="567"/>
      <c r="V22" s="492"/>
      <c r="W22" s="492"/>
    </row>
    <row r="23" spans="1:32" ht="3" hidden="1" customHeight="1" x14ac:dyDescent="0.3">
      <c r="A23" s="181"/>
      <c r="B23" s="504"/>
      <c r="C23" s="505"/>
      <c r="D23" s="505"/>
      <c r="E23" s="503"/>
      <c r="F23" s="505"/>
      <c r="G23" s="505"/>
      <c r="H23" s="505"/>
      <c r="I23" s="506"/>
      <c r="J23" s="505"/>
      <c r="K23" s="505"/>
      <c r="L23" s="505"/>
      <c r="M23" s="516"/>
      <c r="N23" s="517"/>
      <c r="O23" s="517"/>
      <c r="P23" s="517"/>
      <c r="Q23" s="503"/>
      <c r="R23" s="505"/>
      <c r="S23" s="505"/>
      <c r="T23" s="505"/>
      <c r="U23" s="507"/>
      <c r="V23" s="492"/>
      <c r="W23" s="492"/>
      <c r="AB23" s="490" t="s">
        <v>23</v>
      </c>
      <c r="AC23" s="490">
        <f>data!J23</f>
        <v>3406575</v>
      </c>
    </row>
    <row r="24" spans="1:32" ht="24" customHeight="1" x14ac:dyDescent="0.3">
      <c r="A24" s="181"/>
      <c r="B24" s="591">
        <f>data!J13</f>
        <v>-77447.5</v>
      </c>
      <c r="C24" s="592"/>
      <c r="D24" s="593"/>
      <c r="E24" s="181"/>
      <c r="F24" s="588">
        <f>data!J16</f>
        <v>-6.5353644669750924E-2</v>
      </c>
      <c r="G24" s="589"/>
      <c r="H24" s="590"/>
      <c r="I24" s="518"/>
      <c r="J24" s="534"/>
      <c r="K24" s="535"/>
      <c r="L24" s="536"/>
      <c r="N24" s="588">
        <f>data!J17</f>
        <v>-2.1513194444444446E-2</v>
      </c>
      <c r="O24" s="589"/>
      <c r="P24" s="590"/>
      <c r="Q24" s="509"/>
      <c r="R24" s="597">
        <f>data!J18</f>
        <v>0.23314521098202426</v>
      </c>
      <c r="S24" s="598"/>
      <c r="T24" s="598"/>
      <c r="U24" s="599"/>
      <c r="V24" s="492"/>
      <c r="W24" s="492"/>
      <c r="AB24" s="490" t="s">
        <v>24</v>
      </c>
      <c r="AC24" s="490">
        <f>F17-AC23</f>
        <v>474247.5</v>
      </c>
    </row>
    <row r="25" spans="1:32" ht="6.75" customHeight="1" x14ac:dyDescent="0.3">
      <c r="A25" s="181"/>
      <c r="B25" s="594"/>
      <c r="C25" s="595"/>
      <c r="D25" s="596"/>
      <c r="E25" s="181"/>
      <c r="F25" s="585"/>
      <c r="G25" s="586"/>
      <c r="H25" s="587"/>
      <c r="I25" s="518"/>
      <c r="J25" s="511"/>
      <c r="K25" s="500"/>
      <c r="L25" s="512"/>
      <c r="N25" s="585"/>
      <c r="O25" s="586"/>
      <c r="P25" s="587"/>
      <c r="Q25" s="509"/>
      <c r="R25" s="600"/>
      <c r="S25" s="601"/>
      <c r="T25" s="601"/>
      <c r="U25" s="602"/>
      <c r="V25" s="492"/>
      <c r="W25" s="492"/>
    </row>
    <row r="26" spans="1:32" ht="24" customHeight="1" x14ac:dyDescent="0.3">
      <c r="A26" s="181"/>
      <c r="B26" s="571"/>
      <c r="C26" s="572"/>
      <c r="D26" s="573"/>
      <c r="E26" s="181"/>
      <c r="F26" s="571"/>
      <c r="G26" s="572"/>
      <c r="H26" s="573"/>
      <c r="I26" s="519"/>
      <c r="J26" s="511"/>
      <c r="K26" s="520"/>
      <c r="L26" s="512"/>
      <c r="N26" s="571"/>
      <c r="O26" s="572"/>
      <c r="P26" s="573"/>
      <c r="Q26" s="181"/>
      <c r="R26" s="571"/>
      <c r="S26" s="572"/>
      <c r="T26" s="572"/>
      <c r="U26" s="573"/>
      <c r="V26" s="492"/>
      <c r="W26" s="492"/>
    </row>
    <row r="27" spans="1:32" ht="30.6" customHeight="1" x14ac:dyDescent="0.3">
      <c r="A27" s="181"/>
      <c r="B27" s="521"/>
      <c r="C27" s="522"/>
      <c r="D27" s="523"/>
      <c r="E27" s="492"/>
      <c r="F27" s="521"/>
      <c r="G27" s="522"/>
      <c r="H27" s="523"/>
      <c r="I27" s="492"/>
      <c r="J27" s="521"/>
      <c r="K27" s="522"/>
      <c r="L27" s="523"/>
      <c r="M27" s="492"/>
      <c r="N27" s="521"/>
      <c r="O27" s="522"/>
      <c r="P27" s="523"/>
      <c r="Q27" s="492"/>
      <c r="R27" s="521"/>
      <c r="S27" s="522"/>
      <c r="T27" s="522"/>
      <c r="U27" s="523"/>
      <c r="V27" s="492"/>
      <c r="W27" s="492"/>
    </row>
    <row r="28" spans="1:32" s="181" customFormat="1" ht="41.4" customHeight="1" thickBot="1" x14ac:dyDescent="0.35">
      <c r="B28" s="524"/>
      <c r="C28" s="525"/>
      <c r="D28" s="527"/>
      <c r="E28" s="526"/>
      <c r="F28" s="524"/>
      <c r="G28" s="525"/>
      <c r="H28" s="527"/>
      <c r="I28" s="526"/>
      <c r="J28" s="524"/>
      <c r="K28" s="525"/>
      <c r="L28" s="527"/>
      <c r="M28" s="526"/>
      <c r="N28" s="524"/>
      <c r="O28" s="525"/>
      <c r="P28" s="527"/>
      <c r="Q28" s="526"/>
      <c r="R28" s="524"/>
      <c r="S28" s="525"/>
      <c r="T28" s="525"/>
      <c r="U28" s="527"/>
      <c r="V28" s="492"/>
      <c r="W28" s="492"/>
      <c r="X28" s="490"/>
      <c r="Y28" s="490"/>
      <c r="Z28" s="490"/>
      <c r="AA28" s="490"/>
      <c r="AB28" s="490"/>
      <c r="AC28" s="490"/>
      <c r="AD28" s="490"/>
      <c r="AE28" s="490"/>
      <c r="AF28" s="490"/>
    </row>
    <row r="29" spans="1:32" s="181" customFormat="1" ht="24" customHeight="1" x14ac:dyDescent="0.3">
      <c r="B29" s="492"/>
      <c r="C29" s="492"/>
      <c r="D29" s="492"/>
      <c r="E29" s="492"/>
      <c r="F29" s="492"/>
      <c r="G29" s="492"/>
      <c r="H29" s="492"/>
      <c r="I29" s="492"/>
      <c r="J29" s="492"/>
      <c r="K29" s="492"/>
      <c r="L29" s="492"/>
      <c r="M29" s="492"/>
      <c r="N29" s="492"/>
      <c r="O29" s="492"/>
      <c r="P29" s="492"/>
      <c r="Q29" s="492"/>
      <c r="R29" s="492"/>
      <c r="S29" s="492"/>
      <c r="T29" s="492"/>
      <c r="U29" s="492"/>
      <c r="V29" s="492"/>
      <c r="W29" s="492"/>
      <c r="X29" s="490"/>
      <c r="Y29" s="490"/>
      <c r="Z29" s="490"/>
      <c r="AA29" s="490"/>
      <c r="AB29" s="490"/>
      <c r="AC29" s="490"/>
      <c r="AD29" s="490"/>
      <c r="AE29" s="490"/>
      <c r="AF29" s="490"/>
    </row>
    <row r="30" spans="1:32" s="181" customFormat="1" ht="24" customHeight="1" x14ac:dyDescent="0.3">
      <c r="B30" s="492"/>
      <c r="C30" s="492"/>
      <c r="D30" s="492"/>
      <c r="E30" s="492"/>
      <c r="F30" s="492"/>
      <c r="G30" s="492"/>
      <c r="H30" s="492"/>
      <c r="I30" s="492"/>
      <c r="J30" s="492"/>
      <c r="K30" s="492"/>
      <c r="L30" s="492"/>
      <c r="M30" s="492"/>
      <c r="N30" s="492"/>
      <c r="O30" s="492"/>
      <c r="P30" s="492"/>
      <c r="Q30" s="492"/>
      <c r="R30" s="492"/>
      <c r="S30" s="492"/>
      <c r="T30" s="492"/>
      <c r="U30" s="492"/>
      <c r="V30" s="492"/>
      <c r="W30" s="492"/>
      <c r="X30" s="490"/>
      <c r="Y30" s="490"/>
      <c r="Z30" s="490"/>
      <c r="AA30" s="490"/>
      <c r="AB30" s="490"/>
      <c r="AC30" s="490"/>
      <c r="AD30" s="490"/>
      <c r="AE30" s="490"/>
      <c r="AF30" s="490"/>
    </row>
    <row r="31" spans="1:32" s="181" customFormat="1" ht="24" customHeight="1" x14ac:dyDescent="0.3">
      <c r="B31" s="492"/>
      <c r="C31" s="492"/>
      <c r="D31" s="492"/>
      <c r="E31" s="492"/>
      <c r="F31" s="492"/>
      <c r="G31" s="492"/>
      <c r="H31" s="492"/>
      <c r="I31" s="492"/>
      <c r="J31" s="492"/>
      <c r="K31" s="492"/>
      <c r="L31" s="492"/>
      <c r="M31" s="492"/>
      <c r="N31" s="492"/>
      <c r="O31" s="492"/>
      <c r="P31" s="492"/>
      <c r="Q31" s="492"/>
      <c r="R31" s="492"/>
      <c r="S31" s="492"/>
      <c r="T31" s="492"/>
      <c r="U31" s="492"/>
      <c r="V31" s="492"/>
      <c r="W31" s="492"/>
      <c r="X31" s="490"/>
      <c r="Y31" s="490"/>
      <c r="Z31" s="490"/>
      <c r="AA31" s="490"/>
      <c r="AB31" s="490"/>
      <c r="AC31" s="490"/>
      <c r="AD31" s="490"/>
      <c r="AE31" s="490"/>
      <c r="AF31" s="490"/>
    </row>
    <row r="32" spans="1:32" s="181" customFormat="1" ht="24" customHeight="1" x14ac:dyDescent="0.3">
      <c r="B32" s="492"/>
      <c r="C32" s="492"/>
      <c r="D32" s="492"/>
      <c r="E32" s="492"/>
      <c r="F32" s="492"/>
      <c r="G32" s="492"/>
      <c r="H32" s="492"/>
      <c r="I32" s="492"/>
      <c r="J32" s="492"/>
      <c r="K32" s="492"/>
      <c r="L32" s="492"/>
      <c r="M32" s="492"/>
      <c r="N32" s="492"/>
      <c r="O32" s="492"/>
      <c r="P32" s="492"/>
      <c r="Q32" s="492"/>
      <c r="R32" s="492"/>
      <c r="S32" s="492"/>
      <c r="T32" s="492"/>
      <c r="U32" s="492"/>
      <c r="V32" s="492"/>
      <c r="W32" s="492"/>
      <c r="X32" s="490"/>
      <c r="Y32" s="490"/>
      <c r="Z32" s="490"/>
      <c r="AA32" s="490"/>
      <c r="AB32" s="490"/>
      <c r="AC32" s="490"/>
      <c r="AD32" s="490"/>
      <c r="AE32" s="490"/>
      <c r="AF32" s="490"/>
    </row>
    <row r="33" spans="2:32" s="181" customFormat="1" ht="24" customHeight="1" x14ac:dyDescent="0.3">
      <c r="B33" s="528"/>
      <c r="C33" s="492"/>
      <c r="D33" s="492"/>
      <c r="E33" s="492"/>
      <c r="F33" s="492"/>
      <c r="G33" s="492"/>
      <c r="H33" s="492"/>
      <c r="I33" s="492"/>
      <c r="J33" s="492"/>
      <c r="K33" s="492"/>
      <c r="L33" s="492"/>
      <c r="M33" s="492"/>
      <c r="N33" s="492"/>
      <c r="O33" s="492"/>
      <c r="P33" s="492"/>
      <c r="Q33" s="492"/>
      <c r="R33" s="492"/>
      <c r="S33" s="492"/>
      <c r="T33" s="492"/>
      <c r="U33" s="492"/>
      <c r="V33" s="492"/>
      <c r="W33" s="492"/>
      <c r="X33" s="490"/>
      <c r="Y33" s="490"/>
      <c r="Z33" s="490"/>
      <c r="AA33" s="490"/>
      <c r="AB33" s="490"/>
      <c r="AC33" s="490"/>
      <c r="AD33" s="490"/>
      <c r="AE33" s="490"/>
      <c r="AF33" s="490"/>
    </row>
    <row r="34" spans="2:32" s="181" customFormat="1" ht="13.5" customHeight="1" x14ac:dyDescent="0.3">
      <c r="B34" s="492"/>
      <c r="C34" s="492"/>
      <c r="D34" s="492"/>
      <c r="E34" s="492"/>
      <c r="F34" s="492"/>
      <c r="G34" s="492"/>
      <c r="H34" s="492"/>
      <c r="I34" s="492"/>
      <c r="J34" s="492"/>
      <c r="K34" s="492"/>
      <c r="L34" s="492"/>
      <c r="M34" s="492"/>
      <c r="N34" s="492"/>
      <c r="O34" s="492"/>
      <c r="P34" s="492"/>
      <c r="Q34" s="492"/>
      <c r="R34" s="492"/>
      <c r="S34" s="492"/>
      <c r="T34" s="492"/>
      <c r="U34" s="492"/>
      <c r="V34" s="492"/>
      <c r="W34" s="492"/>
      <c r="X34" s="490"/>
      <c r="Y34" s="490"/>
      <c r="Z34" s="490"/>
      <c r="AA34" s="490"/>
      <c r="AB34" s="490"/>
      <c r="AC34" s="490"/>
      <c r="AD34" s="490"/>
      <c r="AE34" s="490"/>
      <c r="AF34" s="490"/>
    </row>
    <row r="35" spans="2:32" s="181" customFormat="1" ht="13.5" customHeight="1" x14ac:dyDescent="0.3">
      <c r="B35" s="492"/>
      <c r="C35" s="492"/>
      <c r="D35" s="492"/>
      <c r="E35" s="492"/>
      <c r="F35" s="492"/>
      <c r="G35" s="492"/>
      <c r="H35" s="492"/>
      <c r="I35" s="492"/>
      <c r="J35" s="492"/>
      <c r="K35" s="492"/>
      <c r="L35" s="492"/>
      <c r="M35" s="492"/>
      <c r="N35" s="492"/>
      <c r="O35" s="492"/>
      <c r="P35" s="492"/>
      <c r="Q35" s="492"/>
      <c r="R35" s="492"/>
      <c r="S35" s="492"/>
      <c r="T35" s="492"/>
      <c r="U35" s="492"/>
      <c r="V35" s="492"/>
      <c r="W35" s="492"/>
      <c r="X35" s="490"/>
      <c r="Y35" s="490"/>
      <c r="Z35" s="490"/>
      <c r="AA35" s="490"/>
      <c r="AB35" s="490"/>
      <c r="AC35" s="490"/>
      <c r="AD35" s="490"/>
      <c r="AE35" s="490"/>
      <c r="AF35" s="490"/>
    </row>
    <row r="36" spans="2:32" s="181" customFormat="1" x14ac:dyDescent="0.3">
      <c r="B36" s="492"/>
      <c r="C36" s="492"/>
      <c r="D36" s="492"/>
      <c r="E36" s="492"/>
      <c r="F36" s="492"/>
      <c r="G36" s="492"/>
      <c r="H36" s="492"/>
      <c r="I36" s="492"/>
      <c r="J36" s="492"/>
      <c r="K36" s="492"/>
      <c r="L36" s="492"/>
      <c r="M36" s="492"/>
      <c r="N36" s="492"/>
      <c r="O36" s="492"/>
      <c r="P36" s="492"/>
      <c r="Q36" s="492"/>
      <c r="R36" s="492"/>
      <c r="S36" s="492"/>
      <c r="T36" s="492"/>
      <c r="U36" s="492"/>
      <c r="V36" s="492"/>
      <c r="W36" s="492"/>
      <c r="X36" s="490"/>
      <c r="Y36" s="490"/>
      <c r="Z36" s="490"/>
      <c r="AA36" s="490"/>
      <c r="AB36" s="490"/>
      <c r="AC36" s="490"/>
      <c r="AD36" s="490"/>
      <c r="AE36" s="490"/>
      <c r="AF36" s="490"/>
    </row>
    <row r="37" spans="2:32" s="181" customFormat="1" x14ac:dyDescent="0.3">
      <c r="B37" s="492"/>
      <c r="C37" s="492"/>
      <c r="D37" s="492"/>
      <c r="E37" s="492"/>
      <c r="F37" s="492"/>
      <c r="G37" s="492"/>
      <c r="H37" s="492"/>
      <c r="I37" s="492"/>
      <c r="J37" s="492"/>
      <c r="K37" s="492"/>
      <c r="L37" s="492"/>
      <c r="M37" s="492"/>
      <c r="N37" s="492"/>
      <c r="O37" s="492"/>
      <c r="P37" s="492"/>
      <c r="Q37" s="492"/>
      <c r="R37" s="492"/>
      <c r="S37" s="492"/>
      <c r="T37" s="492"/>
      <c r="U37" s="492"/>
      <c r="V37" s="492"/>
      <c r="W37" s="492"/>
      <c r="X37" s="490"/>
      <c r="Y37" s="490"/>
      <c r="Z37" s="490"/>
      <c r="AA37" s="490"/>
      <c r="AB37" s="490"/>
      <c r="AC37" s="490"/>
      <c r="AD37" s="490"/>
      <c r="AE37" s="490"/>
      <c r="AF37" s="490"/>
    </row>
    <row r="38" spans="2:32" s="181" customFormat="1" x14ac:dyDescent="0.3">
      <c r="B38" s="492"/>
      <c r="C38" s="492"/>
      <c r="D38" s="492"/>
      <c r="E38" s="492"/>
      <c r="F38" s="492"/>
      <c r="G38" s="492"/>
      <c r="H38" s="492"/>
      <c r="I38" s="492"/>
      <c r="J38" s="492"/>
      <c r="K38" s="492"/>
      <c r="L38" s="492"/>
      <c r="M38" s="492"/>
      <c r="N38" s="492"/>
      <c r="O38" s="492"/>
      <c r="P38" s="492"/>
      <c r="Q38" s="492"/>
      <c r="R38" s="492"/>
      <c r="S38" s="492"/>
      <c r="T38" s="492"/>
      <c r="U38" s="492"/>
      <c r="V38" s="492"/>
      <c r="W38" s="492"/>
      <c r="X38" s="490"/>
      <c r="Y38" s="490"/>
      <c r="Z38" s="490"/>
      <c r="AA38" s="490"/>
      <c r="AB38" s="490"/>
      <c r="AC38" s="490"/>
      <c r="AD38" s="490"/>
      <c r="AE38" s="490"/>
      <c r="AF38" s="490"/>
    </row>
    <row r="39" spans="2:32" s="181" customFormat="1" x14ac:dyDescent="0.3">
      <c r="B39" s="492"/>
      <c r="C39" s="492"/>
      <c r="D39" s="492"/>
      <c r="E39" s="492"/>
      <c r="F39" s="492"/>
      <c r="G39" s="492"/>
      <c r="H39" s="492"/>
      <c r="I39" s="492"/>
      <c r="J39" s="492"/>
      <c r="K39" s="492"/>
      <c r="L39" s="492"/>
      <c r="M39" s="492"/>
      <c r="N39" s="492"/>
      <c r="O39" s="492"/>
      <c r="P39" s="492"/>
      <c r="Q39" s="492"/>
      <c r="R39" s="492"/>
      <c r="S39" s="492"/>
      <c r="T39" s="492"/>
      <c r="U39" s="492"/>
      <c r="V39" s="492"/>
      <c r="W39" s="492"/>
      <c r="X39" s="490"/>
      <c r="Y39" s="490"/>
      <c r="Z39" s="490"/>
      <c r="AA39" s="490"/>
      <c r="AB39" s="490"/>
      <c r="AC39" s="490"/>
      <c r="AD39" s="490"/>
      <c r="AE39" s="490"/>
      <c r="AF39" s="490"/>
    </row>
    <row r="40" spans="2:32" s="181" customFormat="1" x14ac:dyDescent="0.3">
      <c r="B40" s="492"/>
      <c r="C40" s="492"/>
      <c r="D40" s="492"/>
      <c r="E40" s="492"/>
      <c r="F40" s="492"/>
      <c r="G40" s="492"/>
      <c r="H40" s="492"/>
      <c r="I40" s="492"/>
      <c r="J40" s="492"/>
      <c r="K40" s="492"/>
      <c r="L40" s="492"/>
      <c r="M40" s="492"/>
      <c r="N40" s="492"/>
      <c r="O40" s="492"/>
      <c r="P40" s="492"/>
      <c r="Q40" s="492"/>
      <c r="R40" s="492"/>
      <c r="S40" s="492"/>
      <c r="T40" s="492"/>
      <c r="U40" s="492"/>
      <c r="V40" s="492"/>
      <c r="W40" s="492"/>
      <c r="X40" s="490"/>
      <c r="Y40" s="490"/>
      <c r="Z40" s="490"/>
      <c r="AA40" s="490"/>
      <c r="AB40" s="490"/>
      <c r="AC40" s="490"/>
      <c r="AD40" s="490"/>
      <c r="AE40" s="490"/>
      <c r="AF40" s="490"/>
    </row>
    <row r="41" spans="2:32" s="181" customFormat="1" x14ac:dyDescent="0.3">
      <c r="B41" s="492"/>
      <c r="C41" s="492"/>
      <c r="D41" s="492"/>
      <c r="E41" s="492"/>
      <c r="F41" s="492"/>
      <c r="G41" s="492"/>
      <c r="H41" s="492"/>
      <c r="I41" s="492"/>
      <c r="J41" s="492"/>
      <c r="K41" s="492"/>
      <c r="L41" s="492"/>
      <c r="M41" s="492"/>
      <c r="N41" s="492"/>
      <c r="O41" s="492"/>
      <c r="P41" s="492"/>
      <c r="Q41" s="492"/>
      <c r="R41" s="492"/>
      <c r="S41" s="492"/>
      <c r="T41" s="492"/>
      <c r="U41" s="492"/>
      <c r="V41" s="492"/>
      <c r="W41" s="492"/>
      <c r="X41" s="490"/>
      <c r="Y41" s="490"/>
      <c r="Z41" s="490"/>
      <c r="AA41" s="490"/>
      <c r="AB41" s="490"/>
      <c r="AC41" s="490"/>
      <c r="AD41" s="490"/>
      <c r="AE41" s="490"/>
      <c r="AF41" s="490"/>
    </row>
    <row r="42" spans="2:32" s="181" customFormat="1" x14ac:dyDescent="0.3">
      <c r="B42" s="492"/>
      <c r="C42" s="492"/>
      <c r="D42" s="492"/>
      <c r="E42" s="492"/>
      <c r="F42" s="492"/>
      <c r="G42" s="492"/>
      <c r="H42" s="492"/>
      <c r="I42" s="492"/>
      <c r="J42" s="492"/>
      <c r="K42" s="492"/>
      <c r="L42" s="492"/>
      <c r="M42" s="492"/>
      <c r="N42" s="492"/>
      <c r="O42" s="492"/>
      <c r="P42" s="492"/>
      <c r="Q42" s="492"/>
      <c r="R42" s="492"/>
      <c r="S42" s="492"/>
      <c r="T42" s="492"/>
      <c r="U42" s="492"/>
      <c r="V42" s="492"/>
      <c r="W42" s="492"/>
      <c r="X42" s="490"/>
      <c r="Y42" s="490"/>
      <c r="Z42" s="490"/>
      <c r="AA42" s="490"/>
      <c r="AB42" s="490"/>
      <c r="AC42" s="490"/>
      <c r="AD42" s="490"/>
      <c r="AE42" s="490"/>
      <c r="AF42" s="490"/>
    </row>
    <row r="43" spans="2:32" s="181" customFormat="1" x14ac:dyDescent="0.3">
      <c r="B43" s="492"/>
      <c r="C43" s="492"/>
      <c r="D43" s="492"/>
      <c r="E43" s="492"/>
      <c r="F43" s="492"/>
      <c r="G43" s="492"/>
      <c r="H43" s="492"/>
      <c r="I43" s="492"/>
      <c r="J43" s="492"/>
      <c r="K43" s="492"/>
      <c r="L43" s="492"/>
      <c r="M43" s="492"/>
      <c r="N43" s="492"/>
      <c r="O43" s="492"/>
      <c r="P43" s="492"/>
      <c r="Q43" s="492"/>
      <c r="R43" s="492"/>
      <c r="S43" s="492"/>
      <c r="T43" s="492"/>
      <c r="U43" s="492"/>
      <c r="V43" s="492"/>
      <c r="W43" s="492"/>
      <c r="X43" s="490"/>
      <c r="Y43" s="490"/>
      <c r="Z43" s="490"/>
      <c r="AA43" s="490"/>
      <c r="AB43" s="490"/>
      <c r="AC43" s="490"/>
      <c r="AD43" s="490"/>
      <c r="AE43" s="490"/>
      <c r="AF43" s="490"/>
    </row>
    <row r="44" spans="2:32" s="181" customFormat="1" x14ac:dyDescent="0.3">
      <c r="B44" s="492"/>
      <c r="C44" s="492"/>
      <c r="D44" s="492"/>
      <c r="E44" s="492"/>
      <c r="F44" s="492"/>
      <c r="G44" s="492"/>
      <c r="H44" s="492"/>
      <c r="I44" s="492"/>
      <c r="J44" s="492"/>
      <c r="K44" s="492"/>
      <c r="L44" s="492"/>
      <c r="M44" s="492"/>
      <c r="N44" s="492"/>
      <c r="O44" s="492"/>
      <c r="P44" s="492"/>
      <c r="Q44" s="492"/>
      <c r="R44" s="492"/>
      <c r="S44" s="492"/>
      <c r="T44" s="492"/>
      <c r="U44" s="492"/>
      <c r="V44" s="492"/>
      <c r="W44" s="492"/>
      <c r="X44" s="490"/>
      <c r="Y44" s="490"/>
      <c r="Z44" s="490"/>
      <c r="AA44" s="490"/>
      <c r="AB44" s="490"/>
      <c r="AC44" s="490"/>
      <c r="AD44" s="490"/>
      <c r="AE44" s="490"/>
      <c r="AF44" s="490"/>
    </row>
    <row r="45" spans="2:32" s="181" customFormat="1" x14ac:dyDescent="0.3">
      <c r="B45" s="492"/>
      <c r="C45" s="492"/>
      <c r="D45" s="492"/>
      <c r="E45" s="492"/>
      <c r="F45" s="492"/>
      <c r="G45" s="492"/>
      <c r="H45" s="492"/>
      <c r="I45" s="492"/>
      <c r="J45" s="492"/>
      <c r="K45" s="492"/>
      <c r="L45" s="492"/>
      <c r="M45" s="492"/>
      <c r="N45" s="492"/>
      <c r="O45" s="492"/>
      <c r="P45" s="492"/>
      <c r="Q45" s="492"/>
      <c r="R45" s="492"/>
      <c r="S45" s="492"/>
      <c r="T45" s="492"/>
      <c r="U45" s="492"/>
      <c r="V45" s="492"/>
      <c r="W45" s="492"/>
      <c r="X45" s="490"/>
      <c r="Y45" s="490"/>
      <c r="Z45" s="490"/>
      <c r="AA45" s="490"/>
      <c r="AB45" s="490"/>
      <c r="AC45" s="490"/>
      <c r="AD45" s="490"/>
      <c r="AE45" s="490"/>
      <c r="AF45" s="490"/>
    </row>
    <row r="46" spans="2:32" s="181" customFormat="1" x14ac:dyDescent="0.3">
      <c r="B46" s="492"/>
      <c r="C46" s="492"/>
      <c r="D46" s="492"/>
      <c r="E46" s="492"/>
      <c r="F46" s="492"/>
      <c r="G46" s="492"/>
      <c r="H46" s="492"/>
      <c r="I46" s="492"/>
      <c r="J46" s="492"/>
      <c r="K46" s="492"/>
      <c r="L46" s="492"/>
      <c r="M46" s="492"/>
      <c r="N46" s="492"/>
      <c r="O46" s="492"/>
      <c r="P46" s="492"/>
      <c r="Q46" s="492"/>
      <c r="R46" s="492"/>
      <c r="S46" s="492"/>
      <c r="T46" s="492"/>
      <c r="U46" s="492"/>
      <c r="V46" s="492"/>
      <c r="W46" s="492"/>
      <c r="X46" s="490"/>
      <c r="Y46" s="490"/>
      <c r="Z46" s="490"/>
      <c r="AA46" s="490"/>
      <c r="AB46" s="490"/>
      <c r="AC46" s="490"/>
      <c r="AD46" s="490"/>
      <c r="AE46" s="490"/>
      <c r="AF46" s="490"/>
    </row>
    <row r="47" spans="2:32" s="181" customFormat="1" x14ac:dyDescent="0.3">
      <c r="B47" s="492"/>
      <c r="C47" s="492"/>
      <c r="D47" s="492"/>
      <c r="E47" s="492"/>
      <c r="F47" s="492"/>
      <c r="G47" s="492"/>
      <c r="H47" s="492"/>
      <c r="I47" s="492"/>
      <c r="J47" s="492"/>
      <c r="K47" s="492"/>
      <c r="L47" s="492"/>
      <c r="M47" s="492"/>
      <c r="N47" s="492"/>
      <c r="O47" s="492"/>
      <c r="P47" s="492"/>
      <c r="Q47" s="492"/>
      <c r="R47" s="492"/>
      <c r="S47" s="492"/>
      <c r="T47" s="492"/>
      <c r="U47" s="492"/>
      <c r="V47" s="492"/>
      <c r="W47" s="492"/>
      <c r="X47" s="490"/>
      <c r="Y47" s="490"/>
      <c r="Z47" s="490"/>
      <c r="AA47" s="490"/>
      <c r="AB47" s="490"/>
      <c r="AC47" s="490"/>
      <c r="AD47" s="490"/>
      <c r="AE47" s="490"/>
      <c r="AF47" s="490"/>
    </row>
    <row r="48" spans="2:32" s="181" customFormat="1" x14ac:dyDescent="0.3">
      <c r="B48" s="492"/>
      <c r="C48" s="492"/>
      <c r="D48" s="492"/>
      <c r="E48" s="492"/>
      <c r="F48" s="492"/>
      <c r="G48" s="492"/>
      <c r="H48" s="492"/>
      <c r="I48" s="492"/>
      <c r="J48" s="492"/>
      <c r="K48" s="492"/>
      <c r="L48" s="492"/>
      <c r="M48" s="492"/>
      <c r="N48" s="492"/>
      <c r="O48" s="492"/>
      <c r="P48" s="492"/>
      <c r="Q48" s="492"/>
      <c r="R48" s="492"/>
      <c r="S48" s="492"/>
      <c r="T48" s="492"/>
      <c r="U48" s="492"/>
      <c r="V48" s="492"/>
      <c r="W48" s="492"/>
      <c r="X48" s="490"/>
      <c r="Y48" s="490"/>
      <c r="Z48" s="490"/>
      <c r="AA48" s="490"/>
      <c r="AB48" s="490"/>
      <c r="AC48" s="490"/>
      <c r="AD48" s="490"/>
      <c r="AE48" s="490"/>
      <c r="AF48" s="490"/>
    </row>
    <row r="49" spans="2:32" s="181" customFormat="1" x14ac:dyDescent="0.3">
      <c r="B49" s="492"/>
      <c r="C49" s="492"/>
      <c r="D49" s="492"/>
      <c r="E49" s="492"/>
      <c r="F49" s="492"/>
      <c r="G49" s="492"/>
      <c r="H49" s="492"/>
      <c r="I49" s="492"/>
      <c r="J49" s="492"/>
      <c r="K49" s="492"/>
      <c r="L49" s="492"/>
      <c r="M49" s="492"/>
      <c r="N49" s="492"/>
      <c r="O49" s="492"/>
      <c r="P49" s="492"/>
      <c r="Q49" s="492"/>
      <c r="R49" s="492"/>
      <c r="S49" s="492"/>
      <c r="T49" s="492"/>
      <c r="U49" s="492"/>
      <c r="V49" s="492"/>
      <c r="W49" s="492"/>
      <c r="X49" s="490"/>
      <c r="Y49" s="490"/>
      <c r="Z49" s="490"/>
      <c r="AA49" s="490"/>
      <c r="AB49" s="490"/>
      <c r="AC49" s="490"/>
      <c r="AD49" s="490"/>
      <c r="AE49" s="490"/>
      <c r="AF49" s="490"/>
    </row>
    <row r="50" spans="2:32" s="181" customFormat="1" x14ac:dyDescent="0.3">
      <c r="B50" s="492"/>
      <c r="C50" s="492"/>
      <c r="D50" s="492"/>
      <c r="E50" s="492"/>
      <c r="F50" s="492"/>
      <c r="G50" s="492"/>
      <c r="H50" s="492"/>
      <c r="I50" s="492"/>
      <c r="J50" s="492"/>
      <c r="K50" s="492"/>
      <c r="L50" s="492"/>
      <c r="M50" s="492"/>
      <c r="N50" s="492"/>
      <c r="O50" s="492"/>
      <c r="P50" s="492"/>
      <c r="Q50" s="492"/>
      <c r="R50" s="492"/>
      <c r="S50" s="492"/>
      <c r="T50" s="492"/>
      <c r="U50" s="492"/>
      <c r="V50" s="492"/>
      <c r="W50" s="492"/>
      <c r="X50" s="490"/>
      <c r="Y50" s="490"/>
      <c r="Z50" s="490"/>
      <c r="AA50" s="490"/>
      <c r="AB50" s="490"/>
      <c r="AC50" s="490"/>
      <c r="AD50" s="490"/>
      <c r="AE50" s="490"/>
      <c r="AF50" s="490"/>
    </row>
    <row r="51" spans="2:32" s="181" customFormat="1" x14ac:dyDescent="0.3">
      <c r="B51" s="492"/>
      <c r="C51" s="492"/>
      <c r="D51" s="492"/>
      <c r="E51" s="492"/>
      <c r="F51" s="492"/>
      <c r="G51" s="492"/>
      <c r="H51" s="492"/>
      <c r="I51" s="492"/>
      <c r="J51" s="492"/>
      <c r="K51" s="492"/>
      <c r="L51" s="492"/>
      <c r="M51" s="492"/>
      <c r="N51" s="492"/>
      <c r="O51" s="492"/>
      <c r="P51" s="492"/>
      <c r="Q51" s="492"/>
      <c r="R51" s="492"/>
      <c r="S51" s="492"/>
      <c r="T51" s="492"/>
      <c r="U51" s="492"/>
      <c r="V51" s="492"/>
      <c r="W51" s="492"/>
      <c r="X51" s="490"/>
      <c r="Y51" s="490"/>
      <c r="Z51" s="490"/>
      <c r="AA51" s="490"/>
      <c r="AB51" s="490"/>
      <c r="AC51" s="490"/>
      <c r="AD51" s="490"/>
      <c r="AE51" s="490"/>
      <c r="AF51" s="490"/>
    </row>
    <row r="52" spans="2:32" s="181" customFormat="1" x14ac:dyDescent="0.3">
      <c r="B52" s="492"/>
      <c r="C52" s="492"/>
      <c r="D52" s="492"/>
      <c r="E52" s="492"/>
      <c r="F52" s="492"/>
      <c r="G52" s="492"/>
      <c r="H52" s="492"/>
      <c r="I52" s="492"/>
      <c r="J52" s="492"/>
      <c r="K52" s="492"/>
      <c r="L52" s="492"/>
      <c r="M52" s="492"/>
      <c r="N52" s="492"/>
      <c r="O52" s="492"/>
      <c r="P52" s="492"/>
      <c r="Q52" s="492"/>
      <c r="R52" s="492"/>
      <c r="S52" s="492"/>
      <c r="T52" s="492"/>
      <c r="U52" s="492"/>
      <c r="V52" s="492"/>
      <c r="W52" s="492"/>
      <c r="X52" s="490"/>
      <c r="Y52" s="490"/>
      <c r="Z52" s="490"/>
      <c r="AA52" s="490"/>
      <c r="AB52" s="490"/>
      <c r="AC52" s="490"/>
      <c r="AD52" s="490"/>
      <c r="AE52" s="490"/>
      <c r="AF52" s="490"/>
    </row>
    <row r="53" spans="2:32" s="181" customFormat="1" x14ac:dyDescent="0.3">
      <c r="B53" s="492"/>
      <c r="C53" s="492"/>
      <c r="D53" s="492"/>
      <c r="E53" s="492"/>
      <c r="F53" s="492"/>
      <c r="G53" s="492"/>
      <c r="H53" s="492"/>
      <c r="I53" s="492"/>
      <c r="J53" s="492"/>
      <c r="K53" s="492"/>
      <c r="L53" s="492"/>
      <c r="M53" s="492"/>
      <c r="N53" s="492"/>
      <c r="O53" s="492"/>
      <c r="P53" s="492"/>
      <c r="Q53" s="492"/>
      <c r="R53" s="492"/>
      <c r="S53" s="492"/>
      <c r="T53" s="492"/>
      <c r="U53" s="492"/>
      <c r="V53" s="492"/>
      <c r="W53" s="492"/>
      <c r="X53" s="490"/>
      <c r="Y53" s="490"/>
      <c r="Z53" s="490"/>
      <c r="AA53" s="490"/>
      <c r="AB53" s="490"/>
      <c r="AC53" s="490"/>
      <c r="AD53" s="490"/>
      <c r="AE53" s="490"/>
      <c r="AF53" s="490"/>
    </row>
    <row r="54" spans="2:32" s="181" customFormat="1" x14ac:dyDescent="0.3">
      <c r="B54" s="492"/>
      <c r="C54" s="492"/>
      <c r="D54" s="492"/>
      <c r="E54" s="492"/>
      <c r="F54" s="492"/>
      <c r="G54" s="492"/>
      <c r="H54" s="492"/>
      <c r="I54" s="492"/>
      <c r="J54" s="492"/>
      <c r="K54" s="492"/>
      <c r="L54" s="492"/>
      <c r="M54" s="492"/>
      <c r="N54" s="492"/>
      <c r="O54" s="492"/>
      <c r="P54" s="492"/>
      <c r="Q54" s="492"/>
      <c r="R54" s="492"/>
      <c r="S54" s="492"/>
      <c r="T54" s="492"/>
      <c r="U54" s="492"/>
      <c r="V54" s="492"/>
      <c r="W54" s="492"/>
      <c r="X54" s="490"/>
      <c r="Y54" s="490"/>
      <c r="Z54" s="490"/>
      <c r="AA54" s="490"/>
      <c r="AB54" s="490"/>
      <c r="AC54" s="490"/>
      <c r="AD54" s="490"/>
      <c r="AE54" s="490"/>
      <c r="AF54" s="490"/>
    </row>
    <row r="55" spans="2:32" s="181" customFormat="1" x14ac:dyDescent="0.3">
      <c r="B55" s="492"/>
      <c r="C55" s="492"/>
      <c r="D55" s="492"/>
      <c r="E55" s="492"/>
      <c r="F55" s="492"/>
      <c r="G55" s="492"/>
      <c r="H55" s="492"/>
      <c r="I55" s="492"/>
      <c r="J55" s="492"/>
      <c r="K55" s="492"/>
      <c r="L55" s="492"/>
      <c r="M55" s="492"/>
      <c r="N55" s="492"/>
      <c r="O55" s="492"/>
      <c r="P55" s="492"/>
      <c r="Q55" s="492"/>
      <c r="R55" s="492"/>
      <c r="S55" s="492"/>
      <c r="T55" s="492"/>
      <c r="U55" s="492"/>
      <c r="V55" s="492"/>
      <c r="W55" s="492"/>
      <c r="X55" s="490"/>
      <c r="Y55" s="490"/>
      <c r="Z55" s="490"/>
      <c r="AA55" s="490"/>
      <c r="AB55" s="490"/>
      <c r="AC55" s="490"/>
      <c r="AD55" s="490"/>
      <c r="AE55" s="490"/>
      <c r="AF55" s="490"/>
    </row>
    <row r="56" spans="2:32" s="181" customFormat="1" x14ac:dyDescent="0.3">
      <c r="B56" s="492"/>
      <c r="C56" s="492"/>
      <c r="D56" s="492"/>
      <c r="E56" s="492"/>
      <c r="F56" s="492"/>
      <c r="G56" s="492"/>
      <c r="H56" s="492"/>
      <c r="I56" s="492"/>
      <c r="J56" s="492"/>
      <c r="K56" s="492"/>
      <c r="L56" s="492"/>
      <c r="M56" s="492"/>
      <c r="N56" s="492"/>
      <c r="O56" s="492"/>
      <c r="P56" s="492"/>
      <c r="Q56" s="492"/>
      <c r="R56" s="492"/>
      <c r="S56" s="492"/>
      <c r="T56" s="492"/>
      <c r="U56" s="492"/>
      <c r="V56" s="492"/>
      <c r="W56" s="492"/>
      <c r="X56" s="490"/>
      <c r="Y56" s="490"/>
      <c r="Z56" s="490"/>
      <c r="AA56" s="490"/>
      <c r="AB56" s="490"/>
      <c r="AC56" s="490"/>
      <c r="AD56" s="490"/>
      <c r="AE56" s="490"/>
      <c r="AF56" s="490"/>
    </row>
    <row r="57" spans="2:32" s="181" customFormat="1" x14ac:dyDescent="0.3">
      <c r="B57" s="492"/>
      <c r="C57" s="492"/>
      <c r="D57" s="492"/>
      <c r="E57" s="492"/>
      <c r="F57" s="492"/>
      <c r="G57" s="492"/>
      <c r="H57" s="492"/>
      <c r="I57" s="492"/>
      <c r="J57" s="492"/>
      <c r="K57" s="492"/>
      <c r="L57" s="492"/>
      <c r="M57" s="492"/>
      <c r="N57" s="492"/>
      <c r="O57" s="492"/>
      <c r="P57" s="492"/>
      <c r="Q57" s="492"/>
      <c r="R57" s="492"/>
      <c r="S57" s="492"/>
      <c r="T57" s="492"/>
      <c r="U57" s="492"/>
      <c r="V57" s="492"/>
      <c r="W57" s="492"/>
      <c r="X57" s="490"/>
      <c r="Y57" s="490"/>
      <c r="Z57" s="490"/>
      <c r="AA57" s="490"/>
      <c r="AB57" s="490"/>
      <c r="AC57" s="490"/>
      <c r="AD57" s="490"/>
      <c r="AE57" s="490"/>
      <c r="AF57" s="490"/>
    </row>
    <row r="58" spans="2:32" s="181" customFormat="1" x14ac:dyDescent="0.3">
      <c r="B58" s="492"/>
      <c r="C58" s="492"/>
      <c r="D58" s="492"/>
      <c r="E58" s="492"/>
      <c r="F58" s="492"/>
      <c r="G58" s="492"/>
      <c r="H58" s="492"/>
      <c r="I58" s="492"/>
      <c r="J58" s="492"/>
      <c r="K58" s="492"/>
      <c r="L58" s="492"/>
      <c r="M58" s="492"/>
      <c r="N58" s="492"/>
      <c r="O58" s="492"/>
      <c r="P58" s="492"/>
      <c r="Q58" s="492"/>
      <c r="R58" s="492"/>
      <c r="S58" s="492"/>
      <c r="T58" s="492"/>
      <c r="U58" s="492"/>
      <c r="V58" s="492"/>
      <c r="W58" s="492"/>
      <c r="X58" s="490"/>
      <c r="Y58" s="490"/>
      <c r="Z58" s="490"/>
      <c r="AA58" s="490"/>
      <c r="AB58" s="490"/>
      <c r="AC58" s="490"/>
      <c r="AD58" s="490"/>
      <c r="AE58" s="490"/>
      <c r="AF58" s="490"/>
    </row>
    <row r="59" spans="2:32" s="181" customFormat="1" x14ac:dyDescent="0.3">
      <c r="B59" s="492"/>
      <c r="C59" s="492"/>
      <c r="D59" s="492"/>
      <c r="E59" s="492"/>
      <c r="F59" s="492"/>
      <c r="G59" s="492"/>
      <c r="H59" s="492"/>
      <c r="I59" s="492"/>
      <c r="J59" s="492"/>
      <c r="K59" s="492"/>
      <c r="L59" s="492"/>
      <c r="M59" s="492"/>
      <c r="N59" s="492"/>
      <c r="O59" s="492"/>
      <c r="P59" s="492"/>
      <c r="Q59" s="492"/>
      <c r="R59" s="492"/>
      <c r="S59" s="492"/>
      <c r="T59" s="492"/>
      <c r="U59" s="492"/>
      <c r="V59" s="492"/>
      <c r="W59" s="492"/>
      <c r="X59" s="490"/>
      <c r="Y59" s="490"/>
      <c r="Z59" s="490"/>
      <c r="AA59" s="490"/>
      <c r="AB59" s="490"/>
      <c r="AC59" s="490"/>
      <c r="AD59" s="490"/>
      <c r="AE59" s="490"/>
      <c r="AF59" s="490"/>
    </row>
    <row r="60" spans="2:32" s="181" customFormat="1" x14ac:dyDescent="0.3">
      <c r="B60" s="492"/>
      <c r="C60" s="492"/>
      <c r="D60" s="492"/>
      <c r="E60" s="492"/>
      <c r="F60" s="492"/>
      <c r="G60" s="492"/>
      <c r="H60" s="492"/>
      <c r="I60" s="492"/>
      <c r="J60" s="492"/>
      <c r="K60" s="492"/>
      <c r="L60" s="492"/>
      <c r="M60" s="492"/>
      <c r="N60" s="492"/>
      <c r="O60" s="492"/>
      <c r="P60" s="492"/>
      <c r="Q60" s="492"/>
      <c r="R60" s="492"/>
      <c r="S60" s="492"/>
      <c r="T60" s="492"/>
      <c r="U60" s="492"/>
      <c r="V60" s="492"/>
      <c r="W60" s="492"/>
      <c r="X60" s="490"/>
      <c r="Y60" s="490"/>
      <c r="Z60" s="490"/>
      <c r="AA60" s="490"/>
      <c r="AB60" s="490"/>
      <c r="AC60" s="490"/>
      <c r="AD60" s="490"/>
      <c r="AE60" s="490"/>
      <c r="AF60" s="490"/>
    </row>
    <row r="61" spans="2:32" s="181" customFormat="1" x14ac:dyDescent="0.3">
      <c r="B61" s="492"/>
      <c r="C61" s="492"/>
      <c r="D61" s="492"/>
      <c r="E61" s="492"/>
      <c r="F61" s="492"/>
      <c r="G61" s="492"/>
      <c r="H61" s="492"/>
      <c r="I61" s="492"/>
      <c r="J61" s="492"/>
      <c r="K61" s="492"/>
      <c r="L61" s="492"/>
      <c r="M61" s="492"/>
      <c r="N61" s="492"/>
      <c r="O61" s="492"/>
      <c r="P61" s="492"/>
      <c r="Q61" s="492"/>
      <c r="R61" s="492"/>
      <c r="S61" s="492"/>
      <c r="T61" s="492"/>
      <c r="U61" s="492"/>
      <c r="V61" s="492"/>
      <c r="W61" s="492"/>
      <c r="X61" s="490"/>
      <c r="Y61" s="490"/>
      <c r="Z61" s="490"/>
      <c r="AA61" s="490"/>
      <c r="AB61" s="490"/>
      <c r="AC61" s="490"/>
      <c r="AD61" s="490"/>
      <c r="AE61" s="490"/>
      <c r="AF61" s="490"/>
    </row>
    <row r="62" spans="2:32" s="181" customFormat="1" x14ac:dyDescent="0.3">
      <c r="B62" s="492"/>
      <c r="C62" s="492"/>
      <c r="D62" s="492"/>
      <c r="E62" s="492"/>
      <c r="F62" s="492"/>
      <c r="G62" s="492"/>
      <c r="H62" s="492"/>
      <c r="I62" s="492"/>
      <c r="J62" s="492"/>
      <c r="K62" s="492"/>
      <c r="L62" s="492"/>
      <c r="M62" s="492"/>
      <c r="N62" s="492"/>
      <c r="O62" s="492"/>
      <c r="P62" s="492"/>
      <c r="Q62" s="492"/>
      <c r="R62" s="492"/>
      <c r="S62" s="492"/>
      <c r="T62" s="492"/>
      <c r="U62" s="492"/>
      <c r="V62" s="492"/>
      <c r="W62" s="492"/>
      <c r="X62" s="490"/>
      <c r="Y62" s="490"/>
      <c r="Z62" s="490"/>
      <c r="AA62" s="490"/>
      <c r="AB62" s="490"/>
      <c r="AC62" s="490"/>
      <c r="AD62" s="490"/>
      <c r="AE62" s="490"/>
      <c r="AF62" s="490"/>
    </row>
    <row r="63" spans="2:32" s="181" customFormat="1" x14ac:dyDescent="0.3">
      <c r="B63" s="492"/>
      <c r="C63" s="492"/>
      <c r="D63" s="492"/>
      <c r="E63" s="492"/>
      <c r="F63" s="492"/>
      <c r="G63" s="492"/>
      <c r="H63" s="492"/>
      <c r="I63" s="492"/>
      <c r="J63" s="492"/>
      <c r="K63" s="492"/>
      <c r="L63" s="492"/>
      <c r="M63" s="492"/>
      <c r="N63" s="492"/>
      <c r="O63" s="492"/>
      <c r="P63" s="492"/>
      <c r="Q63" s="492"/>
      <c r="R63" s="492"/>
      <c r="S63" s="492"/>
      <c r="T63" s="492"/>
      <c r="U63" s="492"/>
      <c r="V63" s="492"/>
      <c r="W63" s="492"/>
      <c r="X63" s="490"/>
      <c r="Y63" s="490"/>
      <c r="Z63" s="490"/>
      <c r="AA63" s="490"/>
      <c r="AB63" s="490"/>
      <c r="AC63" s="490"/>
      <c r="AD63" s="490"/>
      <c r="AE63" s="490"/>
      <c r="AF63" s="490"/>
    </row>
    <row r="64" spans="2:32" s="181" customFormat="1" x14ac:dyDescent="0.3">
      <c r="B64" s="492"/>
      <c r="C64" s="492"/>
      <c r="D64" s="492"/>
      <c r="E64" s="492"/>
      <c r="F64" s="492"/>
      <c r="G64" s="492"/>
      <c r="H64" s="492"/>
      <c r="I64" s="492"/>
      <c r="J64" s="492"/>
      <c r="K64" s="492"/>
      <c r="L64" s="492"/>
      <c r="M64" s="492"/>
      <c r="N64" s="492"/>
      <c r="O64" s="492"/>
      <c r="P64" s="492"/>
      <c r="Q64" s="492"/>
      <c r="R64" s="492"/>
      <c r="S64" s="492"/>
      <c r="T64" s="492"/>
      <c r="U64" s="492"/>
      <c r="V64" s="492"/>
      <c r="W64" s="492"/>
      <c r="X64" s="490"/>
      <c r="Y64" s="490"/>
      <c r="Z64" s="490"/>
      <c r="AA64" s="490"/>
      <c r="AB64" s="490"/>
      <c r="AC64" s="490"/>
      <c r="AD64" s="490"/>
      <c r="AE64" s="490"/>
      <c r="AF64" s="490"/>
    </row>
    <row r="65" spans="2:32" s="181" customFormat="1" x14ac:dyDescent="0.3">
      <c r="B65" s="492"/>
      <c r="C65" s="492"/>
      <c r="D65" s="492"/>
      <c r="E65" s="492"/>
      <c r="F65" s="492"/>
      <c r="G65" s="492"/>
      <c r="H65" s="492"/>
      <c r="I65" s="492"/>
      <c r="J65" s="492"/>
      <c r="K65" s="492"/>
      <c r="L65" s="492"/>
      <c r="M65" s="492"/>
      <c r="N65" s="492"/>
      <c r="O65" s="492"/>
      <c r="P65" s="492"/>
      <c r="Q65" s="492"/>
      <c r="R65" s="492"/>
      <c r="S65" s="492"/>
      <c r="T65" s="492"/>
      <c r="U65" s="492"/>
      <c r="V65" s="492"/>
      <c r="W65" s="492"/>
      <c r="X65" s="490"/>
      <c r="Y65" s="490"/>
      <c r="Z65" s="490"/>
      <c r="AA65" s="490"/>
      <c r="AB65" s="490"/>
      <c r="AC65" s="490"/>
      <c r="AD65" s="490"/>
      <c r="AE65" s="490"/>
      <c r="AF65" s="490"/>
    </row>
    <row r="66" spans="2:32" s="181" customFormat="1" x14ac:dyDescent="0.3">
      <c r="B66" s="492"/>
      <c r="C66" s="492"/>
      <c r="D66" s="492"/>
      <c r="E66" s="492"/>
      <c r="F66" s="492"/>
      <c r="G66" s="492"/>
      <c r="H66" s="492"/>
      <c r="I66" s="492"/>
      <c r="J66" s="492"/>
      <c r="K66" s="492"/>
      <c r="L66" s="492"/>
      <c r="M66" s="492"/>
      <c r="N66" s="492"/>
      <c r="O66" s="492"/>
      <c r="P66" s="492"/>
      <c r="Q66" s="492"/>
      <c r="R66" s="492"/>
      <c r="S66" s="492"/>
      <c r="T66" s="492"/>
      <c r="U66" s="492"/>
      <c r="V66" s="492"/>
      <c r="W66" s="492"/>
      <c r="X66" s="490"/>
      <c r="Y66" s="490"/>
      <c r="Z66" s="490"/>
      <c r="AA66" s="490"/>
      <c r="AB66" s="490"/>
      <c r="AC66" s="490"/>
      <c r="AD66" s="490"/>
      <c r="AE66" s="490"/>
      <c r="AF66" s="490"/>
    </row>
    <row r="67" spans="2:32" s="181" customFormat="1" x14ac:dyDescent="0.3">
      <c r="B67" s="492"/>
      <c r="C67" s="492"/>
      <c r="D67" s="492"/>
      <c r="E67" s="492"/>
      <c r="F67" s="492"/>
      <c r="G67" s="492"/>
      <c r="H67" s="492"/>
      <c r="I67" s="492"/>
      <c r="J67" s="492"/>
      <c r="K67" s="492"/>
      <c r="L67" s="492"/>
      <c r="M67" s="492"/>
      <c r="N67" s="492"/>
      <c r="O67" s="492"/>
      <c r="P67" s="492"/>
      <c r="Q67" s="492"/>
      <c r="R67" s="492"/>
      <c r="S67" s="492"/>
      <c r="T67" s="492"/>
      <c r="U67" s="492"/>
      <c r="V67" s="492"/>
      <c r="W67" s="492"/>
      <c r="X67" s="490"/>
      <c r="Y67" s="490"/>
      <c r="Z67" s="490"/>
      <c r="AA67" s="490"/>
      <c r="AB67" s="490"/>
      <c r="AC67" s="490"/>
      <c r="AD67" s="490"/>
      <c r="AE67" s="490"/>
      <c r="AF67" s="490"/>
    </row>
    <row r="68" spans="2:32" s="181" customFormat="1" x14ac:dyDescent="0.3">
      <c r="B68" s="492"/>
      <c r="C68" s="492"/>
      <c r="D68" s="492"/>
      <c r="E68" s="492"/>
      <c r="F68" s="492"/>
      <c r="G68" s="492"/>
      <c r="H68" s="492"/>
      <c r="I68" s="492"/>
      <c r="J68" s="492"/>
      <c r="K68" s="492"/>
      <c r="L68" s="492"/>
      <c r="M68" s="492"/>
      <c r="N68" s="492"/>
      <c r="O68" s="492"/>
      <c r="P68" s="492"/>
      <c r="Q68" s="492"/>
      <c r="R68" s="492"/>
      <c r="S68" s="492"/>
      <c r="T68" s="492"/>
      <c r="U68" s="492"/>
      <c r="V68" s="492"/>
      <c r="W68" s="492"/>
      <c r="X68" s="490"/>
      <c r="Y68" s="490"/>
      <c r="Z68" s="490"/>
      <c r="AA68" s="490"/>
      <c r="AB68" s="490"/>
      <c r="AC68" s="490"/>
      <c r="AD68" s="490"/>
      <c r="AE68" s="490"/>
      <c r="AF68" s="490"/>
    </row>
    <row r="69" spans="2:32" s="181" customFormat="1" x14ac:dyDescent="0.3">
      <c r="B69" s="492"/>
      <c r="C69" s="492"/>
      <c r="D69" s="492"/>
      <c r="E69" s="492"/>
      <c r="F69" s="492"/>
      <c r="G69" s="492"/>
      <c r="H69" s="492"/>
      <c r="I69" s="492"/>
      <c r="J69" s="492"/>
      <c r="K69" s="492"/>
      <c r="L69" s="492"/>
      <c r="M69" s="492"/>
      <c r="N69" s="492"/>
      <c r="O69" s="492"/>
      <c r="P69" s="492"/>
      <c r="Q69" s="492"/>
      <c r="R69" s="492"/>
      <c r="S69" s="492"/>
      <c r="T69" s="492"/>
      <c r="U69" s="492"/>
      <c r="V69" s="492"/>
      <c r="W69" s="492"/>
      <c r="X69" s="490"/>
      <c r="Y69" s="490"/>
      <c r="Z69" s="490"/>
      <c r="AA69" s="490"/>
      <c r="AB69" s="490"/>
      <c r="AC69" s="490"/>
      <c r="AD69" s="490"/>
      <c r="AE69" s="490"/>
      <c r="AF69" s="490"/>
    </row>
    <row r="70" spans="2:32" s="181" customFormat="1" x14ac:dyDescent="0.3">
      <c r="B70" s="492"/>
      <c r="C70" s="492"/>
      <c r="D70" s="492"/>
      <c r="E70" s="492"/>
      <c r="F70" s="492"/>
      <c r="G70" s="492"/>
      <c r="H70" s="492"/>
      <c r="I70" s="492"/>
      <c r="J70" s="492"/>
      <c r="K70" s="492"/>
      <c r="L70" s="492"/>
      <c r="M70" s="492"/>
      <c r="N70" s="492"/>
      <c r="O70" s="492"/>
      <c r="P70" s="492"/>
      <c r="Q70" s="492"/>
      <c r="R70" s="492"/>
      <c r="S70" s="492"/>
      <c r="T70" s="492"/>
      <c r="U70" s="492"/>
      <c r="V70" s="492"/>
      <c r="W70" s="492"/>
      <c r="X70" s="490"/>
      <c r="Y70" s="490"/>
      <c r="Z70" s="490"/>
      <c r="AA70" s="490"/>
      <c r="AB70" s="490"/>
      <c r="AC70" s="490"/>
      <c r="AD70" s="490"/>
      <c r="AE70" s="490"/>
      <c r="AF70" s="490"/>
    </row>
    <row r="71" spans="2:32" s="181" customFormat="1" x14ac:dyDescent="0.3">
      <c r="B71" s="492"/>
      <c r="C71" s="492"/>
      <c r="D71" s="492"/>
      <c r="E71" s="492"/>
      <c r="F71" s="492"/>
      <c r="G71" s="492"/>
      <c r="H71" s="492"/>
      <c r="I71" s="492"/>
      <c r="J71" s="492"/>
      <c r="K71" s="492"/>
      <c r="L71" s="492"/>
      <c r="M71" s="492"/>
      <c r="N71" s="492"/>
      <c r="O71" s="492"/>
      <c r="P71" s="492"/>
      <c r="Q71" s="492"/>
      <c r="R71" s="492"/>
      <c r="S71" s="492"/>
      <c r="T71" s="492"/>
      <c r="U71" s="492"/>
      <c r="V71" s="492"/>
      <c r="W71" s="492"/>
      <c r="X71" s="490"/>
      <c r="Y71" s="490"/>
      <c r="Z71" s="490"/>
      <c r="AA71" s="490"/>
      <c r="AB71" s="490"/>
      <c r="AC71" s="490"/>
      <c r="AD71" s="490"/>
      <c r="AE71" s="490"/>
      <c r="AF71" s="490"/>
    </row>
    <row r="72" spans="2:32" s="181" customFormat="1" x14ac:dyDescent="0.3">
      <c r="B72" s="492"/>
      <c r="C72" s="492"/>
      <c r="D72" s="492"/>
      <c r="E72" s="492"/>
      <c r="F72" s="492"/>
      <c r="G72" s="492"/>
      <c r="H72" s="492"/>
      <c r="I72" s="492"/>
      <c r="J72" s="492"/>
      <c r="K72" s="492"/>
      <c r="L72" s="492"/>
      <c r="M72" s="492"/>
      <c r="N72" s="492"/>
      <c r="O72" s="492"/>
      <c r="P72" s="492"/>
      <c r="Q72" s="492"/>
      <c r="R72" s="492"/>
      <c r="S72" s="492"/>
      <c r="T72" s="492"/>
      <c r="U72" s="492"/>
      <c r="V72" s="492"/>
      <c r="W72" s="492"/>
      <c r="X72" s="490"/>
      <c r="Y72" s="490"/>
      <c r="Z72" s="490"/>
      <c r="AA72" s="490"/>
      <c r="AB72" s="490"/>
      <c r="AC72" s="490"/>
      <c r="AD72" s="490"/>
      <c r="AE72" s="490"/>
      <c r="AF72" s="490"/>
    </row>
    <row r="73" spans="2:32" s="181" customFormat="1" x14ac:dyDescent="0.3">
      <c r="B73" s="492"/>
      <c r="C73" s="492"/>
      <c r="D73" s="492"/>
      <c r="E73" s="492"/>
      <c r="F73" s="492"/>
      <c r="G73" s="492"/>
      <c r="H73" s="492"/>
      <c r="I73" s="492"/>
      <c r="J73" s="492"/>
      <c r="K73" s="492"/>
      <c r="L73" s="492"/>
      <c r="M73" s="492"/>
      <c r="N73" s="492"/>
      <c r="O73" s="492"/>
      <c r="P73" s="492"/>
      <c r="Q73" s="492"/>
      <c r="R73" s="492"/>
      <c r="S73" s="492"/>
      <c r="T73" s="492"/>
      <c r="U73" s="492"/>
      <c r="V73" s="492"/>
      <c r="W73" s="492"/>
      <c r="X73" s="490"/>
      <c r="Y73" s="490"/>
      <c r="Z73" s="490"/>
      <c r="AA73" s="490"/>
      <c r="AB73" s="490"/>
      <c r="AC73" s="490"/>
      <c r="AD73" s="490"/>
      <c r="AE73" s="490"/>
      <c r="AF73" s="490"/>
    </row>
    <row r="74" spans="2:32" s="181" customFormat="1" x14ac:dyDescent="0.3">
      <c r="B74" s="492"/>
      <c r="C74" s="492"/>
      <c r="D74" s="492"/>
      <c r="E74" s="492"/>
      <c r="F74" s="492"/>
      <c r="G74" s="492"/>
      <c r="H74" s="492"/>
      <c r="I74" s="492"/>
      <c r="J74" s="492"/>
      <c r="K74" s="492"/>
      <c r="L74" s="492"/>
      <c r="M74" s="492"/>
      <c r="N74" s="492"/>
      <c r="O74" s="492"/>
      <c r="P74" s="492"/>
      <c r="Q74" s="492"/>
      <c r="R74" s="492"/>
      <c r="S74" s="492"/>
      <c r="T74" s="492"/>
      <c r="U74" s="492"/>
      <c r="V74" s="492"/>
      <c r="W74" s="492"/>
      <c r="X74" s="490"/>
      <c r="Y74" s="490"/>
      <c r="Z74" s="490"/>
      <c r="AA74" s="490"/>
      <c r="AB74" s="490"/>
      <c r="AC74" s="490"/>
      <c r="AD74" s="490"/>
      <c r="AE74" s="490"/>
      <c r="AF74" s="490"/>
    </row>
    <row r="75" spans="2:32" s="181" customFormat="1" x14ac:dyDescent="0.3">
      <c r="B75" s="492"/>
      <c r="C75" s="492"/>
      <c r="D75" s="492"/>
      <c r="E75" s="492"/>
      <c r="F75" s="492"/>
      <c r="G75" s="492"/>
      <c r="H75" s="492"/>
      <c r="I75" s="492"/>
      <c r="J75" s="492"/>
      <c r="K75" s="492"/>
      <c r="L75" s="492"/>
      <c r="M75" s="492"/>
      <c r="N75" s="492"/>
      <c r="O75" s="492"/>
      <c r="P75" s="492"/>
      <c r="Q75" s="492"/>
      <c r="R75" s="492"/>
      <c r="S75" s="492"/>
      <c r="T75" s="492"/>
      <c r="U75" s="492"/>
      <c r="V75" s="492"/>
      <c r="W75" s="492"/>
      <c r="X75" s="490"/>
      <c r="Y75" s="490"/>
      <c r="Z75" s="490"/>
      <c r="AA75" s="490"/>
      <c r="AB75" s="490"/>
      <c r="AC75" s="490"/>
      <c r="AD75" s="490"/>
      <c r="AE75" s="490"/>
      <c r="AF75" s="490"/>
    </row>
    <row r="76" spans="2:32" s="181" customFormat="1" x14ac:dyDescent="0.3">
      <c r="B76" s="492"/>
      <c r="C76" s="492"/>
      <c r="D76" s="492"/>
      <c r="E76" s="492"/>
      <c r="F76" s="492"/>
      <c r="G76" s="492"/>
      <c r="H76" s="492"/>
      <c r="I76" s="492"/>
      <c r="J76" s="492"/>
      <c r="K76" s="492"/>
      <c r="L76" s="492"/>
      <c r="M76" s="492"/>
      <c r="N76" s="492"/>
      <c r="O76" s="492"/>
      <c r="P76" s="492"/>
      <c r="Q76" s="492"/>
      <c r="R76" s="492"/>
      <c r="S76" s="492"/>
      <c r="T76" s="492"/>
      <c r="U76" s="492"/>
      <c r="V76" s="492"/>
      <c r="W76" s="492"/>
      <c r="X76" s="490"/>
      <c r="Y76" s="490"/>
      <c r="Z76" s="490"/>
      <c r="AA76" s="490"/>
      <c r="AB76" s="490"/>
      <c r="AC76" s="490"/>
      <c r="AD76" s="490"/>
      <c r="AE76" s="490"/>
      <c r="AF76" s="490"/>
    </row>
    <row r="77" spans="2:32" s="181" customFormat="1" x14ac:dyDescent="0.3">
      <c r="B77" s="492"/>
      <c r="C77" s="492"/>
      <c r="D77" s="492"/>
      <c r="E77" s="492"/>
      <c r="F77" s="492"/>
      <c r="G77" s="492"/>
      <c r="H77" s="492"/>
      <c r="I77" s="492"/>
      <c r="J77" s="492"/>
      <c r="K77" s="492"/>
      <c r="L77" s="492"/>
      <c r="M77" s="492"/>
      <c r="N77" s="492"/>
      <c r="O77" s="492"/>
      <c r="P77" s="492"/>
      <c r="Q77" s="492"/>
      <c r="R77" s="492"/>
      <c r="S77" s="492"/>
      <c r="T77" s="492"/>
      <c r="U77" s="492"/>
      <c r="V77" s="492"/>
      <c r="W77" s="492"/>
      <c r="X77" s="490"/>
      <c r="Y77" s="490"/>
      <c r="Z77" s="490"/>
      <c r="AA77" s="490"/>
      <c r="AB77" s="490"/>
      <c r="AC77" s="490"/>
      <c r="AD77" s="490"/>
      <c r="AE77" s="490"/>
      <c r="AF77" s="490"/>
    </row>
    <row r="78" spans="2:32" s="181" customFormat="1" x14ac:dyDescent="0.3">
      <c r="B78" s="492"/>
      <c r="C78" s="492"/>
      <c r="D78" s="492"/>
      <c r="E78" s="492"/>
      <c r="F78" s="492"/>
      <c r="G78" s="492"/>
      <c r="H78" s="492"/>
      <c r="I78" s="492"/>
      <c r="J78" s="492"/>
      <c r="K78" s="492"/>
      <c r="L78" s="492"/>
      <c r="M78" s="492"/>
      <c r="N78" s="492"/>
      <c r="O78" s="492"/>
      <c r="P78" s="492"/>
      <c r="Q78" s="492"/>
      <c r="R78" s="492"/>
      <c r="S78" s="492"/>
      <c r="T78" s="492"/>
      <c r="U78" s="492"/>
      <c r="V78" s="492"/>
      <c r="W78" s="492"/>
      <c r="X78" s="490"/>
      <c r="Y78" s="490"/>
      <c r="Z78" s="490"/>
      <c r="AA78" s="490"/>
      <c r="AB78" s="490"/>
      <c r="AC78" s="490"/>
      <c r="AD78" s="490"/>
      <c r="AE78" s="490"/>
      <c r="AF78" s="490"/>
    </row>
    <row r="79" spans="2:32" s="181" customFormat="1" x14ac:dyDescent="0.3">
      <c r="B79" s="492"/>
      <c r="C79" s="492"/>
      <c r="D79" s="492"/>
      <c r="E79" s="492"/>
      <c r="F79" s="492"/>
      <c r="G79" s="492"/>
      <c r="H79" s="492"/>
      <c r="I79" s="492"/>
      <c r="J79" s="492"/>
      <c r="K79" s="492"/>
      <c r="L79" s="492"/>
      <c r="M79" s="492"/>
      <c r="N79" s="492"/>
      <c r="O79" s="492"/>
      <c r="P79" s="492"/>
      <c r="Q79" s="492"/>
      <c r="R79" s="492"/>
      <c r="S79" s="492"/>
      <c r="T79" s="492"/>
      <c r="U79" s="492"/>
      <c r="V79" s="492"/>
      <c r="W79" s="492"/>
      <c r="X79" s="490"/>
      <c r="Y79" s="490"/>
      <c r="Z79" s="490"/>
      <c r="AA79" s="490"/>
      <c r="AB79" s="490"/>
      <c r="AC79" s="490"/>
      <c r="AD79" s="490"/>
      <c r="AE79" s="490"/>
      <c r="AF79" s="490"/>
    </row>
    <row r="80" spans="2:32" s="181" customFormat="1" x14ac:dyDescent="0.3">
      <c r="B80" s="492"/>
      <c r="C80" s="492"/>
      <c r="D80" s="492"/>
      <c r="E80" s="492"/>
      <c r="F80" s="492"/>
      <c r="G80" s="492"/>
      <c r="H80" s="492"/>
      <c r="I80" s="492"/>
      <c r="J80" s="492"/>
      <c r="K80" s="492"/>
      <c r="L80" s="492"/>
      <c r="M80" s="492"/>
      <c r="N80" s="492"/>
      <c r="O80" s="492"/>
      <c r="P80" s="492"/>
      <c r="Q80" s="492"/>
      <c r="R80" s="492"/>
      <c r="S80" s="492"/>
      <c r="T80" s="492"/>
      <c r="U80" s="492"/>
      <c r="V80" s="492"/>
      <c r="W80" s="492"/>
      <c r="X80" s="490"/>
      <c r="Y80" s="490"/>
      <c r="Z80" s="490"/>
      <c r="AA80" s="490"/>
      <c r="AB80" s="490"/>
      <c r="AC80" s="490"/>
      <c r="AD80" s="490"/>
      <c r="AE80" s="490"/>
      <c r="AF80" s="490"/>
    </row>
    <row r="81" spans="4:32" s="181" customFormat="1" x14ac:dyDescent="0.3">
      <c r="V81" s="492"/>
      <c r="W81" s="492"/>
      <c r="X81" s="490"/>
      <c r="Y81" s="490"/>
      <c r="Z81" s="490"/>
      <c r="AA81" s="490"/>
      <c r="AB81" s="490"/>
      <c r="AC81" s="490"/>
      <c r="AD81" s="490"/>
      <c r="AE81" s="490"/>
      <c r="AF81" s="490"/>
    </row>
    <row r="82" spans="4:32" s="181" customFormat="1" x14ac:dyDescent="0.3">
      <c r="V82" s="492"/>
      <c r="W82" s="492"/>
      <c r="X82" s="490"/>
      <c r="Y82" s="490"/>
      <c r="Z82" s="490"/>
      <c r="AA82" s="490"/>
      <c r="AB82" s="490"/>
      <c r="AC82" s="490"/>
      <c r="AD82" s="490"/>
      <c r="AE82" s="490"/>
      <c r="AF82" s="490"/>
    </row>
    <row r="83" spans="4:32" s="181" customFormat="1" x14ac:dyDescent="0.3">
      <c r="V83" s="492"/>
      <c r="W83" s="492"/>
      <c r="X83" s="490"/>
      <c r="Y83" s="490"/>
      <c r="Z83" s="490"/>
      <c r="AA83" s="490"/>
      <c r="AB83" s="490"/>
      <c r="AC83" s="490"/>
      <c r="AD83" s="490"/>
      <c r="AE83" s="490"/>
      <c r="AF83" s="490"/>
    </row>
    <row r="84" spans="4:32" s="181" customFormat="1" x14ac:dyDescent="0.3">
      <c r="V84" s="492"/>
      <c r="W84" s="492"/>
      <c r="X84" s="490"/>
      <c r="Y84" s="490"/>
      <c r="Z84" s="490"/>
      <c r="AA84" s="490"/>
      <c r="AB84" s="490"/>
      <c r="AC84" s="490"/>
      <c r="AD84" s="490"/>
      <c r="AE84" s="490"/>
      <c r="AF84" s="490"/>
    </row>
    <row r="85" spans="4:32" s="181" customFormat="1" x14ac:dyDescent="0.3">
      <c r="V85" s="492"/>
      <c r="W85" s="492"/>
      <c r="X85" s="490"/>
      <c r="Y85" s="490"/>
      <c r="Z85" s="490"/>
      <c r="AA85" s="490"/>
      <c r="AB85" s="490"/>
      <c r="AC85" s="490"/>
      <c r="AD85" s="490"/>
      <c r="AE85" s="490"/>
      <c r="AF85" s="490"/>
    </row>
    <row r="86" spans="4:32" s="181" customFormat="1" x14ac:dyDescent="0.3">
      <c r="F86" s="529"/>
      <c r="V86" s="492"/>
      <c r="W86" s="492"/>
      <c r="X86" s="490"/>
      <c r="Y86" s="490"/>
      <c r="Z86" s="490"/>
      <c r="AA86" s="490"/>
      <c r="AB86" s="490"/>
      <c r="AC86" s="490"/>
      <c r="AD86" s="490"/>
      <c r="AE86" s="490"/>
      <c r="AF86" s="490"/>
    </row>
    <row r="87" spans="4:32" s="181" customFormat="1" x14ac:dyDescent="0.3">
      <c r="V87" s="492"/>
      <c r="W87" s="492"/>
      <c r="X87" s="490"/>
      <c r="Y87" s="490"/>
      <c r="Z87" s="490"/>
      <c r="AA87" s="490"/>
      <c r="AB87" s="490"/>
      <c r="AC87" s="490"/>
      <c r="AD87" s="490"/>
      <c r="AE87" s="490"/>
      <c r="AF87" s="490"/>
    </row>
    <row r="88" spans="4:32" s="181" customFormat="1" x14ac:dyDescent="0.3">
      <c r="V88" s="492"/>
      <c r="W88" s="492"/>
      <c r="X88" s="490"/>
      <c r="Y88" s="490"/>
      <c r="Z88" s="490"/>
      <c r="AA88" s="490"/>
      <c r="AB88" s="490"/>
      <c r="AC88" s="490"/>
      <c r="AD88" s="490"/>
      <c r="AE88" s="490"/>
      <c r="AF88" s="490"/>
    </row>
    <row r="89" spans="4:32" s="181" customFormat="1" x14ac:dyDescent="0.3">
      <c r="V89" s="492"/>
      <c r="W89" s="492"/>
      <c r="X89" s="490"/>
      <c r="Y89" s="490"/>
      <c r="Z89" s="490"/>
      <c r="AA89" s="490"/>
      <c r="AB89" s="490"/>
      <c r="AC89" s="490"/>
      <c r="AD89" s="490"/>
      <c r="AE89" s="490"/>
      <c r="AF89" s="490"/>
    </row>
    <row r="90" spans="4:32" s="181" customFormat="1" x14ac:dyDescent="0.3">
      <c r="V90" s="492"/>
      <c r="W90" s="492"/>
      <c r="X90" s="490"/>
      <c r="Y90" s="490"/>
      <c r="Z90" s="490"/>
      <c r="AA90" s="490"/>
      <c r="AB90" s="490"/>
      <c r="AC90" s="490"/>
      <c r="AD90" s="490"/>
      <c r="AE90" s="490"/>
      <c r="AF90" s="490"/>
    </row>
    <row r="91" spans="4:32" s="181" customFormat="1" ht="15.6" x14ac:dyDescent="0.3">
      <c r="D91" s="530"/>
      <c r="V91" s="492"/>
      <c r="W91" s="492"/>
      <c r="X91" s="490"/>
      <c r="Y91" s="490"/>
      <c r="Z91" s="490"/>
      <c r="AA91" s="490"/>
      <c r="AB91" s="490"/>
      <c r="AC91" s="490"/>
      <c r="AD91" s="490"/>
      <c r="AE91" s="490"/>
      <c r="AF91" s="490"/>
    </row>
    <row r="92" spans="4:32" s="181" customFormat="1" ht="15.6" x14ac:dyDescent="0.3">
      <c r="D92" s="530"/>
      <c r="W92" s="492"/>
      <c r="X92" s="490"/>
      <c r="Y92" s="490"/>
      <c r="Z92" s="490"/>
      <c r="AA92" s="490"/>
      <c r="AB92" s="490"/>
      <c r="AC92" s="490"/>
      <c r="AD92" s="490"/>
      <c r="AE92" s="490"/>
      <c r="AF92" s="490"/>
    </row>
    <row r="93" spans="4:32" s="181" customFormat="1" ht="15.6" x14ac:dyDescent="0.3">
      <c r="D93" s="530"/>
      <c r="W93" s="492"/>
      <c r="X93" s="490"/>
      <c r="Y93" s="490"/>
      <c r="Z93" s="490"/>
      <c r="AA93" s="490"/>
      <c r="AB93" s="490"/>
      <c r="AC93" s="490"/>
      <c r="AD93" s="490"/>
      <c r="AE93" s="490"/>
      <c r="AF93" s="490"/>
    </row>
    <row r="94" spans="4:32" s="181" customFormat="1" ht="15.6" x14ac:dyDescent="0.3">
      <c r="D94" s="530"/>
      <c r="W94" s="492"/>
      <c r="X94" s="490"/>
      <c r="Y94" s="490"/>
      <c r="Z94" s="490"/>
      <c r="AA94" s="490"/>
      <c r="AB94" s="490"/>
      <c r="AC94" s="490"/>
      <c r="AD94" s="490"/>
      <c r="AE94" s="490"/>
      <c r="AF94" s="490"/>
    </row>
    <row r="95" spans="4:32" s="181" customFormat="1" ht="15.6" x14ac:dyDescent="0.3">
      <c r="D95" s="530"/>
      <c r="W95" s="492"/>
      <c r="X95" s="490"/>
      <c r="Y95" s="490"/>
      <c r="Z95" s="490"/>
      <c r="AA95" s="490"/>
      <c r="AB95" s="490"/>
      <c r="AC95" s="490"/>
      <c r="AD95" s="490"/>
      <c r="AE95" s="490"/>
      <c r="AF95" s="490"/>
    </row>
    <row r="96" spans="4:32" s="181" customFormat="1" ht="15.6" x14ac:dyDescent="0.3">
      <c r="D96" s="530"/>
      <c r="W96" s="492"/>
      <c r="X96" s="490"/>
      <c r="Y96" s="490"/>
      <c r="Z96" s="490"/>
      <c r="AA96" s="490"/>
      <c r="AB96" s="490"/>
      <c r="AC96" s="490"/>
      <c r="AD96" s="490"/>
      <c r="AE96" s="490"/>
      <c r="AF96" s="490"/>
    </row>
    <row r="97" spans="4:32" s="181" customFormat="1" ht="15.6" x14ac:dyDescent="0.3">
      <c r="D97" s="531"/>
      <c r="W97" s="492"/>
      <c r="X97" s="490"/>
      <c r="Y97" s="490"/>
      <c r="Z97" s="490"/>
      <c r="AA97" s="490"/>
      <c r="AB97" s="490"/>
      <c r="AC97" s="490"/>
      <c r="AD97" s="490"/>
      <c r="AE97" s="490"/>
      <c r="AF97" s="490"/>
    </row>
    <row r="98" spans="4:32" s="181" customFormat="1" ht="15.6" x14ac:dyDescent="0.3">
      <c r="D98" s="531"/>
      <c r="W98" s="492"/>
      <c r="X98" s="490"/>
      <c r="Y98" s="490"/>
      <c r="Z98" s="490"/>
      <c r="AA98" s="490"/>
      <c r="AB98" s="490"/>
      <c r="AC98" s="490"/>
      <c r="AD98" s="490"/>
      <c r="AE98" s="490"/>
      <c r="AF98" s="490"/>
    </row>
    <row r="99" spans="4:32" s="181" customFormat="1" ht="15.6" x14ac:dyDescent="0.3">
      <c r="D99" s="530"/>
      <c r="E99" s="532"/>
      <c r="F99" s="529"/>
      <c r="G99" s="498"/>
      <c r="W99" s="492"/>
      <c r="X99" s="490"/>
      <c r="Y99" s="490"/>
      <c r="Z99" s="490"/>
      <c r="AA99" s="490"/>
      <c r="AB99" s="490"/>
      <c r="AC99" s="490"/>
      <c r="AD99" s="490"/>
      <c r="AE99" s="490"/>
      <c r="AF99" s="490"/>
    </row>
    <row r="100" spans="4:32" s="181" customFormat="1" ht="15.6" x14ac:dyDescent="0.3">
      <c r="D100" s="530"/>
      <c r="W100" s="492"/>
      <c r="X100" s="490"/>
      <c r="Y100" s="490"/>
      <c r="Z100" s="490"/>
      <c r="AA100" s="490"/>
      <c r="AB100" s="490"/>
      <c r="AC100" s="490"/>
      <c r="AD100" s="490"/>
      <c r="AE100" s="490"/>
      <c r="AF100" s="490"/>
    </row>
    <row r="101" spans="4:32" s="181" customFormat="1" ht="15.6" x14ac:dyDescent="0.3">
      <c r="D101" s="530"/>
      <c r="W101" s="492"/>
      <c r="X101" s="490"/>
      <c r="Y101" s="490"/>
      <c r="Z101" s="490"/>
      <c r="AA101" s="490"/>
      <c r="AB101" s="490"/>
      <c r="AC101" s="490"/>
      <c r="AD101" s="490"/>
      <c r="AE101" s="490"/>
      <c r="AF101" s="490"/>
    </row>
    <row r="102" spans="4:32" s="181" customFormat="1" ht="15.6" x14ac:dyDescent="0.3">
      <c r="D102" s="533"/>
      <c r="W102" s="492"/>
      <c r="X102" s="490"/>
      <c r="Y102" s="490"/>
      <c r="Z102" s="490"/>
      <c r="AA102" s="490"/>
      <c r="AB102" s="490"/>
      <c r="AC102" s="490"/>
      <c r="AD102" s="490"/>
      <c r="AE102" s="490"/>
      <c r="AF102" s="490"/>
    </row>
    <row r="103" spans="4:32" s="181" customFormat="1" ht="15.6" x14ac:dyDescent="0.3">
      <c r="D103" s="533"/>
      <c r="W103" s="492"/>
      <c r="X103" s="490"/>
      <c r="Y103" s="490"/>
      <c r="Z103" s="490"/>
      <c r="AA103" s="490"/>
      <c r="AB103" s="490"/>
      <c r="AC103" s="490"/>
      <c r="AD103" s="490"/>
      <c r="AE103" s="490"/>
      <c r="AF103" s="490"/>
    </row>
    <row r="104" spans="4:32" s="181" customFormat="1" ht="15.6" x14ac:dyDescent="0.3">
      <c r="D104" s="533"/>
      <c r="X104" s="490"/>
      <c r="Y104" s="490"/>
      <c r="Z104" s="490"/>
      <c r="AA104" s="490"/>
      <c r="AB104" s="490"/>
      <c r="AC104" s="490"/>
      <c r="AD104" s="490"/>
      <c r="AE104" s="490"/>
      <c r="AF104" s="490"/>
    </row>
    <row r="105" spans="4:32" s="181" customFormat="1" ht="15.6" x14ac:dyDescent="0.3">
      <c r="D105" s="533"/>
      <c r="X105" s="490"/>
      <c r="Y105" s="490"/>
      <c r="Z105" s="490"/>
      <c r="AA105" s="490"/>
      <c r="AB105" s="490"/>
      <c r="AC105" s="490"/>
      <c r="AD105" s="490"/>
      <c r="AE105" s="490"/>
      <c r="AF105" s="490"/>
    </row>
    <row r="106" spans="4:32" s="181" customFormat="1" ht="15.6" x14ac:dyDescent="0.3">
      <c r="D106" s="533"/>
      <c r="X106" s="490"/>
      <c r="Y106" s="490"/>
      <c r="Z106" s="490"/>
      <c r="AA106" s="490"/>
      <c r="AB106" s="490"/>
      <c r="AC106" s="490"/>
      <c r="AD106" s="490"/>
      <c r="AE106" s="490"/>
      <c r="AF106" s="490"/>
    </row>
    <row r="107" spans="4:32" s="181" customFormat="1" x14ac:dyDescent="0.3">
      <c r="X107" s="490"/>
      <c r="Y107" s="490"/>
      <c r="Z107" s="490"/>
      <c r="AA107" s="490"/>
      <c r="AB107" s="490"/>
      <c r="AC107" s="490"/>
      <c r="AD107" s="490"/>
      <c r="AE107" s="490"/>
      <c r="AF107" s="490"/>
    </row>
    <row r="108" spans="4:32" s="181" customFormat="1" x14ac:dyDescent="0.3">
      <c r="X108" s="490"/>
      <c r="Y108" s="490"/>
      <c r="Z108" s="490"/>
      <c r="AA108" s="490"/>
      <c r="AB108" s="490"/>
      <c r="AC108" s="490"/>
      <c r="AD108" s="490"/>
      <c r="AE108" s="490"/>
      <c r="AF108" s="490"/>
    </row>
    <row r="109" spans="4:32" s="181" customFormat="1" x14ac:dyDescent="0.3">
      <c r="X109" s="490"/>
      <c r="Y109" s="490"/>
      <c r="Z109" s="490"/>
      <c r="AA109" s="490"/>
      <c r="AB109" s="490"/>
      <c r="AC109" s="490"/>
      <c r="AD109" s="490"/>
      <c r="AE109" s="490"/>
      <c r="AF109" s="490"/>
    </row>
    <row r="110" spans="4:32" s="181" customFormat="1" x14ac:dyDescent="0.3">
      <c r="X110" s="490"/>
      <c r="Y110" s="490"/>
      <c r="Z110" s="490"/>
      <c r="AA110" s="490"/>
      <c r="AB110" s="490"/>
      <c r="AC110" s="490"/>
      <c r="AD110" s="490"/>
      <c r="AE110" s="490"/>
      <c r="AF110" s="490"/>
    </row>
    <row r="111" spans="4:32" s="181" customFormat="1" x14ac:dyDescent="0.3">
      <c r="X111" s="490"/>
      <c r="Y111" s="490"/>
      <c r="Z111" s="490"/>
      <c r="AA111" s="490"/>
      <c r="AB111" s="490"/>
      <c r="AC111" s="490"/>
      <c r="AD111" s="490"/>
      <c r="AE111" s="490"/>
      <c r="AF111" s="490"/>
    </row>
    <row r="112" spans="4:32" s="181" customFormat="1" x14ac:dyDescent="0.3">
      <c r="X112" s="490"/>
      <c r="Y112" s="490"/>
      <c r="Z112" s="490"/>
      <c r="AA112" s="490"/>
      <c r="AB112" s="490"/>
      <c r="AC112" s="490"/>
      <c r="AD112" s="490"/>
      <c r="AE112" s="490"/>
      <c r="AF112" s="490"/>
    </row>
    <row r="113" spans="24:32" s="181" customFormat="1" x14ac:dyDescent="0.3">
      <c r="X113" s="490"/>
      <c r="Y113" s="490"/>
      <c r="Z113" s="490"/>
      <c r="AA113" s="490"/>
      <c r="AB113" s="490"/>
      <c r="AC113" s="490"/>
      <c r="AD113" s="490"/>
      <c r="AE113" s="490"/>
      <c r="AF113" s="490"/>
    </row>
  </sheetData>
  <mergeCells count="34">
    <mergeCell ref="B2:G2"/>
    <mergeCell ref="B15:D15"/>
    <mergeCell ref="F15:H15"/>
    <mergeCell ref="J5:L5"/>
    <mergeCell ref="J7:L11"/>
    <mergeCell ref="B26:D26"/>
    <mergeCell ref="F26:H26"/>
    <mergeCell ref="N26:P26"/>
    <mergeCell ref="R26:U26"/>
    <mergeCell ref="J22:L22"/>
    <mergeCell ref="B22:D22"/>
    <mergeCell ref="F22:H22"/>
    <mergeCell ref="N22:P22"/>
    <mergeCell ref="R22:U22"/>
    <mergeCell ref="B24:D25"/>
    <mergeCell ref="F24:H25"/>
    <mergeCell ref="N24:P25"/>
    <mergeCell ref="R24:U25"/>
    <mergeCell ref="X4:Y4"/>
    <mergeCell ref="B19:D19"/>
    <mergeCell ref="F19:H19"/>
    <mergeCell ref="B5:H5"/>
    <mergeCell ref="N5:U5"/>
    <mergeCell ref="N15:P15"/>
    <mergeCell ref="R15:U15"/>
    <mergeCell ref="N19:P19"/>
    <mergeCell ref="R19:U19"/>
    <mergeCell ref="W1:W4"/>
    <mergeCell ref="R2:S2"/>
    <mergeCell ref="J15:L15"/>
    <mergeCell ref="B17:D18"/>
    <mergeCell ref="F17:H18"/>
    <mergeCell ref="N17:P18"/>
    <mergeCell ref="R17:U18"/>
  </mergeCells>
  <conditionalFormatting sqref="D91:D94">
    <cfRule type="expression" dxfId="39" priority="11">
      <formula>$D91&lt;0</formula>
    </cfRule>
    <cfRule type="expression" dxfId="38" priority="12">
      <formula>$D91&gt;0</formula>
    </cfRule>
  </conditionalFormatting>
  <conditionalFormatting sqref="D95">
    <cfRule type="expression" dxfId="37" priority="9">
      <formula>$D$95&lt;0</formula>
    </cfRule>
    <cfRule type="expression" dxfId="36" priority="10">
      <formula>$D$95&gt;0</formula>
    </cfRule>
  </conditionalFormatting>
  <conditionalFormatting sqref="D96">
    <cfRule type="expression" dxfId="35" priority="7">
      <formula>$D$96&gt;0</formula>
    </cfRule>
    <cfRule type="expression" dxfId="34" priority="8">
      <formula>$D$96&lt;0</formula>
    </cfRule>
  </conditionalFormatting>
  <dataValidations count="1">
    <dataValidation type="list" allowBlank="1" showInputMessage="1" showErrorMessage="1" sqref="W5" xr:uid="{00000000-0002-0000-0300-000000000000}">
      <formula1>ListMonths</formula1>
    </dataValidation>
  </dataValidations>
  <pageMargins left="0.25" right="0.25" top="0.75" bottom="0.75" header="0.3" footer="0.3"/>
  <pageSetup scale="77" orientation="landscape" r:id="rId1"/>
  <colBreaks count="1" manualBreakCount="1">
    <brk id="22" max="29" man="1"/>
  </col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2A594-6B98-489F-A203-A0AF0A6DBEB5}">
  <sheetPr codeName="Sheet5"/>
  <dimension ref="B2:F10"/>
  <sheetViews>
    <sheetView showGridLines="0" zoomScale="110" zoomScaleNormal="110" workbookViewId="0">
      <selection activeCell="D13" sqref="D13"/>
    </sheetView>
  </sheetViews>
  <sheetFormatPr defaultRowHeight="14.4" x14ac:dyDescent="0.3"/>
  <cols>
    <col min="3" max="3" width="24.6640625" bestFit="1" customWidth="1"/>
    <col min="4" max="4" width="13.109375" bestFit="1" customWidth="1"/>
    <col min="5" max="5" width="9.109375"/>
    <col min="6" max="6" width="12.33203125" customWidth="1"/>
    <col min="7" max="7" width="12.5546875" customWidth="1"/>
  </cols>
  <sheetData>
    <row r="2" spans="2:6" ht="16.2" thickBot="1" x14ac:dyDescent="0.35">
      <c r="B2" s="606"/>
      <c r="C2" s="606"/>
      <c r="D2" s="606"/>
      <c r="E2" s="606"/>
      <c r="F2" s="606"/>
    </row>
    <row r="3" spans="2:6" ht="15.6" thickTop="1" thickBot="1" x14ac:dyDescent="0.35">
      <c r="C3" s="605" t="s">
        <v>15</v>
      </c>
      <c r="D3" s="605"/>
    </row>
    <row r="4" spans="2:6" x14ac:dyDescent="0.3">
      <c r="C4" s="37" t="s">
        <v>22</v>
      </c>
      <c r="D4" s="48">
        <f>'DASHBOARD '!B17</f>
        <v>3878375</v>
      </c>
      <c r="E4" s="42"/>
    </row>
    <row r="5" spans="2:6" x14ac:dyDescent="0.3">
      <c r="C5" s="38" t="s">
        <v>9</v>
      </c>
      <c r="D5" s="49">
        <f>-data!J8</f>
        <v>-2401750</v>
      </c>
      <c r="E5" s="42"/>
    </row>
    <row r="6" spans="2:6" x14ac:dyDescent="0.3">
      <c r="C6" s="39" t="s">
        <v>10</v>
      </c>
      <c r="D6" s="50">
        <f>+data!J9</f>
        <v>1476625</v>
      </c>
      <c r="E6" s="43"/>
    </row>
    <row r="7" spans="2:6" x14ac:dyDescent="0.3">
      <c r="C7" s="40" t="s">
        <v>16</v>
      </c>
      <c r="D7" s="49">
        <f>-data!J10</f>
        <v>-1554072.5</v>
      </c>
      <c r="E7" s="44"/>
    </row>
    <row r="8" spans="2:6" x14ac:dyDescent="0.3">
      <c r="C8" s="41" t="s">
        <v>529</v>
      </c>
      <c r="D8" s="51">
        <f>+data!J11</f>
        <v>-77447.5</v>
      </c>
      <c r="E8" s="43"/>
    </row>
    <row r="9" spans="2:6" ht="15" thickBot="1" x14ac:dyDescent="0.35">
      <c r="C9" s="40" t="s">
        <v>11</v>
      </c>
      <c r="D9" s="49">
        <f>-data!J12</f>
        <v>0</v>
      </c>
      <c r="E9" s="42"/>
    </row>
    <row r="10" spans="2:6" ht="15" thickTop="1" x14ac:dyDescent="0.3">
      <c r="C10" s="47" t="s">
        <v>12</v>
      </c>
      <c r="D10" s="52">
        <f>SUM(D4:D9)</f>
        <v>1321730</v>
      </c>
      <c r="E10" s="45"/>
    </row>
  </sheetData>
  <mergeCells count="2">
    <mergeCell ref="C3:D3"/>
    <mergeCell ref="B2:F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9AD76-DF63-4979-936C-ACCD59E47D41}">
  <sheetPr codeName="Sheet2"/>
  <dimension ref="A1:COB121"/>
  <sheetViews>
    <sheetView topLeftCell="BUD1" zoomScale="89" zoomScaleNormal="89" workbookViewId="0">
      <pane ySplit="1" topLeftCell="A91" activePane="bottomLeft" state="frozen"/>
      <selection pane="bottomLeft" activeCell="BUJ106" sqref="BUJ106"/>
    </sheetView>
  </sheetViews>
  <sheetFormatPr defaultRowHeight="14.4" x14ac:dyDescent="0.3"/>
  <cols>
    <col min="1" max="1" width="18.44140625" style="18" bestFit="1" customWidth="1"/>
    <col min="2" max="2" width="3.5546875" style="18" bestFit="1" customWidth="1"/>
    <col min="3" max="5" width="2" style="18" bestFit="1" customWidth="1"/>
    <col min="6" max="6" width="4.44140625" style="18" bestFit="1" customWidth="1"/>
    <col min="7" max="7" width="4.6640625" style="18" bestFit="1" customWidth="1"/>
    <col min="8" max="8" width="4.109375" style="18" bestFit="1" customWidth="1"/>
    <col min="9" max="9" width="7.33203125" style="18" bestFit="1" customWidth="1"/>
    <col min="10" max="10" width="9" style="18" bestFit="1" customWidth="1"/>
    <col min="11" max="11" width="10.44140625" style="18" bestFit="1" customWidth="1"/>
    <col min="12" max="12" width="7.44140625" style="18" bestFit="1" customWidth="1"/>
    <col min="13" max="14" width="6" style="18" bestFit="1" customWidth="1"/>
    <col min="15" max="17" width="6.88671875" style="18" bestFit="1" customWidth="1"/>
    <col min="18" max="18" width="4.6640625" style="18" bestFit="1" customWidth="1"/>
    <col min="19" max="19" width="11.88671875" style="18" bestFit="1" customWidth="1"/>
    <col min="20" max="20" width="11.5546875" style="18" bestFit="1" customWidth="1"/>
    <col min="21" max="21" width="9" style="18" bestFit="1" customWidth="1"/>
    <col min="22" max="22" width="10.109375" style="18" bestFit="1" customWidth="1"/>
    <col min="23" max="23" width="8.44140625" style="18" bestFit="1" customWidth="1"/>
    <col min="24" max="24" width="11.109375" style="18" bestFit="1" customWidth="1"/>
    <col min="25" max="25" width="4.5546875" style="18" bestFit="1" customWidth="1"/>
    <col min="26" max="26" width="7.109375" style="18" bestFit="1" customWidth="1"/>
    <col min="27" max="29" width="2" style="18" bestFit="1" customWidth="1"/>
    <col min="30" max="30" width="4.44140625" style="18" bestFit="1" customWidth="1"/>
    <col min="31" max="31" width="4.6640625" style="18" bestFit="1" customWidth="1"/>
    <col min="32" max="32" width="4.109375" style="18" bestFit="1" customWidth="1"/>
    <col min="33" max="33" width="11.44140625" style="18" bestFit="1" customWidth="1"/>
    <col min="34" max="34" width="8.33203125" style="18" bestFit="1" customWidth="1"/>
    <col min="35" max="41" width="6" style="18" bestFit="1" customWidth="1"/>
    <col min="42" max="44" width="7" style="18" bestFit="1" customWidth="1"/>
    <col min="45" max="50" width="6.88671875" style="18" bestFit="1" customWidth="1"/>
    <col min="51" max="53" width="7.88671875" style="18" bestFit="1" customWidth="1"/>
    <col min="54" max="54" width="12" style="18" bestFit="1" customWidth="1"/>
    <col min="55" max="55" width="6.5546875" style="18" bestFit="1" customWidth="1"/>
    <col min="56" max="56" width="9.109375" style="18"/>
    <col min="57" max="62" width="2" style="18" bestFit="1" customWidth="1"/>
    <col min="63" max="63" width="7.88671875" style="18" bestFit="1" customWidth="1"/>
    <col min="64" max="65" width="7.109375" style="18" bestFit="1" customWidth="1"/>
    <col min="66" max="100" width="9.109375" style="18"/>
    <col min="101" max="101" width="20.44140625" style="18" bestFit="1" customWidth="1"/>
    <col min="102" max="102" width="11.88671875" style="18" bestFit="1" customWidth="1"/>
    <col min="103" max="103" width="11.5546875" style="18" bestFit="1" customWidth="1"/>
    <col min="104" max="104" width="9" style="18" bestFit="1" customWidth="1"/>
    <col min="105" max="105" width="10.109375" style="18" bestFit="1" customWidth="1"/>
    <col min="106" max="107" width="6.44140625" style="18" bestFit="1" customWidth="1"/>
    <col min="108" max="108" width="4.33203125" style="18" bestFit="1" customWidth="1"/>
    <col min="109" max="110" width="7.88671875" style="18" bestFit="1" customWidth="1"/>
    <col min="111" max="112" width="6.44140625" style="18" bestFit="1" customWidth="1"/>
    <col min="113" max="113" width="4.33203125" style="18" bestFit="1" customWidth="1"/>
    <col min="114" max="115" width="7.88671875" style="18" bestFit="1" customWidth="1"/>
    <col min="116" max="1500" width="9.109375" style="18"/>
    <col min="1501" max="1501" width="24" style="18" bestFit="1" customWidth="1"/>
    <col min="1502" max="1502" width="11.88671875" style="18" bestFit="1" customWidth="1"/>
    <col min="1503" max="1503" width="11.5546875" style="18" bestFit="1" customWidth="1"/>
    <col min="1504" max="1504" width="9" style="18" bestFit="1" customWidth="1"/>
    <col min="1505" max="1505" width="10.109375" style="18" bestFit="1" customWidth="1"/>
    <col min="1506" max="1506" width="7.88671875" style="18" bestFit="1" customWidth="1"/>
    <col min="1507" max="1600" width="9.109375" style="18"/>
    <col min="1601" max="1601" width="14.44140625" style="18" bestFit="1" customWidth="1"/>
    <col min="1602" max="1602" width="3.5546875" style="18" bestFit="1" customWidth="1"/>
    <col min="1603" max="1603" width="6.5546875" style="18" bestFit="1" customWidth="1"/>
    <col min="1604" max="1604" width="7.109375" style="18" bestFit="1" customWidth="1"/>
    <col min="1605" max="1605" width="7.44140625" style="18" bestFit="1" customWidth="1"/>
    <col min="1606" max="1608" width="6" style="18" bestFit="1" customWidth="1"/>
    <col min="1609" max="1609" width="7.33203125" style="18" bestFit="1" customWidth="1"/>
    <col min="1610" max="1610" width="9" style="18" bestFit="1" customWidth="1"/>
    <col min="1611" max="1611" width="9.6640625" style="18" bestFit="1" customWidth="1"/>
    <col min="1612" max="1612" width="7" style="18" bestFit="1" customWidth="1"/>
    <col min="1613" max="1613" width="8.5546875" style="18" bestFit="1" customWidth="1"/>
    <col min="1614" max="1614" width="4.88671875" style="18" bestFit="1" customWidth="1"/>
    <col min="1615" max="1617" width="7.109375" style="18" bestFit="1" customWidth="1"/>
    <col min="1618" max="1618" width="6.88671875" style="18" bestFit="1" customWidth="1"/>
    <col min="1619" max="1619" width="11.88671875" style="18" bestFit="1" customWidth="1"/>
    <col min="1620" max="1620" width="11.5546875" style="18" bestFit="1" customWidth="1"/>
    <col min="1621" max="1621" width="9" style="18" bestFit="1" customWidth="1"/>
    <col min="1622" max="1622" width="10.109375" style="18" bestFit="1" customWidth="1"/>
    <col min="1623" max="1623" width="6.88671875" style="18" bestFit="1" customWidth="1"/>
    <col min="1624" max="1624" width="7.109375" style="18" bestFit="1" customWidth="1"/>
    <col min="1625" max="1900" width="9.109375" style="18"/>
    <col min="1901" max="1901" width="24.44140625" style="18" bestFit="1" customWidth="1"/>
    <col min="1902" max="1902" width="11.88671875" style="18" bestFit="1" customWidth="1"/>
    <col min="1903" max="1903" width="11.5546875" style="18" bestFit="1" customWidth="1"/>
    <col min="1904" max="1904" width="9" style="18" bestFit="1" customWidth="1"/>
    <col min="1905" max="1905" width="10.109375" style="18" bestFit="1" customWidth="1"/>
    <col min="1906" max="1910" width="13.44140625" style="18" bestFit="1" customWidth="1"/>
    <col min="1911" max="2000" width="9.109375" style="18"/>
    <col min="2001" max="2001" width="21" style="18" bestFit="1" customWidth="1"/>
    <col min="2002" max="2002" width="11.88671875" style="18" bestFit="1" customWidth="1"/>
    <col min="2003" max="2003" width="11.6640625" style="18" bestFit="1" customWidth="1"/>
    <col min="2004" max="2004" width="9" style="18" bestFit="1" customWidth="1"/>
    <col min="2005" max="2005" width="10.21875" style="18" bestFit="1" customWidth="1"/>
    <col min="2006" max="2006" width="24.6640625" style="18" bestFit="1" customWidth="1"/>
    <col min="2007" max="2007" width="12.44140625" style="18" bestFit="1" customWidth="1"/>
    <col min="2008" max="2011" width="12.88671875" style="18" bestFit="1" customWidth="1"/>
    <col min="2012" max="2012" width="18.109375" style="18" bestFit="1" customWidth="1"/>
    <col min="2013" max="2100" width="9.109375" style="18"/>
    <col min="2101" max="2101" width="18.44140625" style="18" bestFit="1" customWidth="1"/>
    <col min="2102" max="2102" width="11.88671875" style="18" bestFit="1" customWidth="1"/>
    <col min="2103" max="2103" width="11.5546875" style="18" bestFit="1" customWidth="1"/>
    <col min="2104" max="2104" width="9" style="18" bestFit="1" customWidth="1"/>
    <col min="2105" max="2105" width="10.109375" style="18" bestFit="1" customWidth="1"/>
    <col min="2106" max="2109" width="9.109375" style="18"/>
  </cols>
  <sheetData>
    <row r="1" spans="1:2420" s="13" customFormat="1" x14ac:dyDescent="0.3">
      <c r="A1" s="7" t="s">
        <v>25</v>
      </c>
      <c r="B1" s="7" t="s">
        <v>26</v>
      </c>
      <c r="C1" s="7">
        <v>1</v>
      </c>
      <c r="D1" s="7">
        <v>2</v>
      </c>
      <c r="E1" s="7">
        <v>3</v>
      </c>
      <c r="F1" s="7" t="s">
        <v>27</v>
      </c>
      <c r="G1" s="7" t="s">
        <v>28</v>
      </c>
      <c r="H1" s="7" t="s">
        <v>29</v>
      </c>
      <c r="I1" s="7" t="s">
        <v>30</v>
      </c>
      <c r="J1" s="7" t="s">
        <v>31</v>
      </c>
      <c r="K1" s="7" t="s">
        <v>32</v>
      </c>
      <c r="L1" s="7" t="s">
        <v>33</v>
      </c>
      <c r="M1" s="7" t="s">
        <v>34</v>
      </c>
      <c r="N1" s="7" t="s">
        <v>35</v>
      </c>
      <c r="O1" s="15" t="s">
        <v>36</v>
      </c>
      <c r="P1" s="7" t="s">
        <v>37</v>
      </c>
      <c r="Q1" s="7" t="s">
        <v>38</v>
      </c>
      <c r="R1" s="7" t="s">
        <v>39</v>
      </c>
      <c r="S1" s="7" t="s">
        <v>40</v>
      </c>
      <c r="T1" s="7" t="s">
        <v>41</v>
      </c>
      <c r="U1" s="7" t="s">
        <v>42</v>
      </c>
      <c r="V1" s="7" t="s">
        <v>43</v>
      </c>
      <c r="W1" s="7" t="s">
        <v>44</v>
      </c>
      <c r="X1" s="7" t="s">
        <v>45</v>
      </c>
      <c r="Y1" s="7" t="s">
        <v>46</v>
      </c>
      <c r="Z1" s="8" t="s">
        <v>47</v>
      </c>
      <c r="AA1" s="8">
        <v>1</v>
      </c>
      <c r="AB1" s="8">
        <v>2</v>
      </c>
      <c r="AC1" s="8">
        <v>3</v>
      </c>
      <c r="AD1" s="8" t="s">
        <v>27</v>
      </c>
      <c r="AE1" s="8" t="s">
        <v>28</v>
      </c>
      <c r="AF1" s="8" t="s">
        <v>29</v>
      </c>
      <c r="AG1" s="8" t="s">
        <v>48</v>
      </c>
      <c r="AH1" s="8" t="s">
        <v>49</v>
      </c>
      <c r="AI1" s="16" t="s">
        <v>50</v>
      </c>
      <c r="AJ1" s="16" t="s">
        <v>51</v>
      </c>
      <c r="AK1" s="16" t="s">
        <v>52</v>
      </c>
      <c r="AL1" s="16" t="s">
        <v>53</v>
      </c>
      <c r="AM1" s="16" t="s">
        <v>54</v>
      </c>
      <c r="AN1" s="16" t="s">
        <v>55</v>
      </c>
      <c r="AO1" s="16" t="s">
        <v>56</v>
      </c>
      <c r="AP1" s="16" t="s">
        <v>57</v>
      </c>
      <c r="AQ1" s="16" t="s">
        <v>58</v>
      </c>
      <c r="AR1" s="16" t="s">
        <v>59</v>
      </c>
      <c r="AS1" s="16" t="s">
        <v>60</v>
      </c>
      <c r="AT1" s="16" t="s">
        <v>61</v>
      </c>
      <c r="AU1" s="16" t="s">
        <v>62</v>
      </c>
      <c r="AV1" s="16" t="s">
        <v>63</v>
      </c>
      <c r="AW1" s="16" t="s">
        <v>64</v>
      </c>
      <c r="AX1" s="16" t="s">
        <v>65</v>
      </c>
      <c r="AY1" s="16" t="s">
        <v>66</v>
      </c>
      <c r="AZ1" s="16" t="s">
        <v>67</v>
      </c>
      <c r="BA1" s="16" t="s">
        <v>68</v>
      </c>
      <c r="BB1" s="17" t="s">
        <v>69</v>
      </c>
      <c r="BC1" s="17" t="s">
        <v>70</v>
      </c>
      <c r="BD1" s="6" t="s">
        <v>71</v>
      </c>
      <c r="BE1" s="7">
        <v>1</v>
      </c>
      <c r="BF1" s="7">
        <v>2</v>
      </c>
      <c r="BG1" s="7">
        <v>3</v>
      </c>
      <c r="BH1" s="8">
        <v>1</v>
      </c>
      <c r="BI1" s="8">
        <v>2</v>
      </c>
      <c r="BJ1" s="8">
        <v>3</v>
      </c>
      <c r="BK1" s="7" t="s">
        <v>72</v>
      </c>
      <c r="BL1" s="7" t="s">
        <v>73</v>
      </c>
      <c r="BM1" s="7" t="s">
        <v>74</v>
      </c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9" t="s">
        <v>75</v>
      </c>
      <c r="CX1" s="9" t="s">
        <v>40</v>
      </c>
      <c r="CY1" s="9" t="s">
        <v>41</v>
      </c>
      <c r="CZ1" s="10" t="s">
        <v>42</v>
      </c>
      <c r="DA1" s="9" t="s">
        <v>43</v>
      </c>
      <c r="DB1" s="10" t="s">
        <v>76</v>
      </c>
      <c r="DC1" s="10" t="s">
        <v>77</v>
      </c>
      <c r="DD1" s="10" t="s">
        <v>78</v>
      </c>
      <c r="DE1" s="10" t="s">
        <v>79</v>
      </c>
      <c r="DF1" s="10" t="s">
        <v>80</v>
      </c>
      <c r="DG1" s="10" t="s">
        <v>76</v>
      </c>
      <c r="DH1" s="10" t="s">
        <v>77</v>
      </c>
      <c r="DI1" s="10" t="s">
        <v>78</v>
      </c>
      <c r="DJ1" s="10" t="s">
        <v>79</v>
      </c>
      <c r="DK1" s="10" t="s">
        <v>80</v>
      </c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  <c r="AAA1" s="10"/>
      <c r="AAB1" s="10"/>
      <c r="AAC1" s="10"/>
      <c r="AAD1" s="10"/>
      <c r="AAE1" s="10"/>
      <c r="AAF1" s="10"/>
      <c r="AAG1" s="10"/>
      <c r="AAH1" s="10"/>
      <c r="AAI1" s="10"/>
      <c r="AAJ1" s="10"/>
      <c r="AAK1" s="10"/>
      <c r="AAL1" s="10"/>
      <c r="AAM1" s="10"/>
      <c r="AAN1" s="10"/>
      <c r="AAO1" s="10"/>
      <c r="AAP1" s="10"/>
      <c r="AAQ1" s="10"/>
      <c r="AAR1" s="10"/>
      <c r="AAS1" s="10"/>
      <c r="AAT1" s="10"/>
      <c r="AAU1" s="10"/>
      <c r="AAV1" s="10"/>
      <c r="AAW1" s="10"/>
      <c r="AAX1" s="10"/>
      <c r="AAY1" s="10"/>
      <c r="AAZ1" s="10"/>
      <c r="ABA1" s="10"/>
      <c r="ABB1" s="10"/>
      <c r="ABC1" s="10"/>
      <c r="ABD1" s="10"/>
      <c r="ABE1" s="10"/>
      <c r="ABF1" s="10"/>
      <c r="ABG1" s="10"/>
      <c r="ABH1" s="10"/>
      <c r="ABI1" s="10"/>
      <c r="ABJ1" s="10"/>
      <c r="ABK1" s="10"/>
      <c r="ABL1" s="10"/>
      <c r="ABM1" s="10"/>
      <c r="ABN1" s="10"/>
      <c r="ABO1" s="10"/>
      <c r="ABP1" s="10"/>
      <c r="ABQ1" s="10"/>
      <c r="ABR1" s="10"/>
      <c r="ABS1" s="10"/>
      <c r="ABT1" s="10"/>
      <c r="ABU1" s="10"/>
      <c r="ABV1" s="10"/>
      <c r="ABW1" s="10"/>
      <c r="ABX1" s="10"/>
      <c r="ABY1" s="10"/>
      <c r="ABZ1" s="10"/>
      <c r="ACA1" s="10"/>
      <c r="ACB1" s="10"/>
      <c r="ACC1" s="10"/>
      <c r="ACD1" s="10"/>
      <c r="ACE1" s="10"/>
      <c r="ACF1" s="10"/>
      <c r="ACG1" s="10"/>
      <c r="ACH1" s="10"/>
      <c r="ACI1" s="10"/>
      <c r="ACJ1" s="10"/>
      <c r="ACK1" s="10"/>
      <c r="ACL1" s="10"/>
      <c r="ACM1" s="10"/>
      <c r="ACN1" s="10"/>
      <c r="ACO1" s="10"/>
      <c r="ACP1" s="10"/>
      <c r="ACQ1" s="10"/>
      <c r="ACR1" s="10"/>
      <c r="ACS1" s="10"/>
      <c r="ACT1" s="10"/>
      <c r="ACU1" s="10"/>
      <c r="ACV1" s="10"/>
      <c r="ACW1" s="10"/>
      <c r="ACX1" s="10"/>
      <c r="ACY1" s="10"/>
      <c r="ACZ1" s="10"/>
      <c r="ADA1" s="10"/>
      <c r="ADB1" s="10"/>
      <c r="ADC1" s="10"/>
      <c r="ADD1" s="10"/>
      <c r="ADE1" s="10"/>
      <c r="ADF1" s="10"/>
      <c r="ADG1" s="10"/>
      <c r="ADH1" s="10"/>
      <c r="ADI1" s="10"/>
      <c r="ADJ1" s="10"/>
      <c r="ADK1" s="10"/>
      <c r="ADL1" s="10"/>
      <c r="ADM1" s="10"/>
      <c r="ADN1" s="10"/>
      <c r="ADO1" s="10"/>
      <c r="ADP1" s="10"/>
      <c r="ADQ1" s="10"/>
      <c r="ADR1" s="10"/>
      <c r="ADS1" s="10"/>
      <c r="ADT1" s="10"/>
      <c r="ADU1" s="10"/>
      <c r="ADV1" s="10"/>
      <c r="ADW1" s="10"/>
      <c r="ADX1" s="10"/>
      <c r="ADY1" s="10"/>
      <c r="ADZ1" s="10"/>
      <c r="AEA1" s="10"/>
      <c r="AEB1" s="10"/>
      <c r="AEC1" s="10"/>
      <c r="AED1" s="10"/>
      <c r="AEE1" s="10"/>
      <c r="AEF1" s="10"/>
      <c r="AEG1" s="10"/>
      <c r="AEH1" s="10"/>
      <c r="AEI1" s="10"/>
      <c r="AEJ1" s="10"/>
      <c r="AEK1" s="10"/>
      <c r="AEL1" s="10"/>
      <c r="AEM1" s="10"/>
      <c r="AEN1" s="10"/>
      <c r="AEO1" s="10"/>
      <c r="AEP1" s="10"/>
      <c r="AEQ1" s="10"/>
      <c r="AER1" s="10"/>
      <c r="AES1" s="10"/>
      <c r="AET1" s="10"/>
      <c r="AEU1" s="10"/>
      <c r="AEV1" s="10"/>
      <c r="AEW1" s="10"/>
      <c r="AEX1" s="10"/>
      <c r="AEY1" s="10"/>
      <c r="AEZ1" s="10"/>
      <c r="AFA1" s="10"/>
      <c r="AFB1" s="10"/>
      <c r="AFC1" s="10"/>
      <c r="AFD1" s="10"/>
      <c r="AFE1" s="10"/>
      <c r="AFF1" s="10"/>
      <c r="AFG1" s="10"/>
      <c r="AFH1" s="10"/>
      <c r="AFI1" s="10"/>
      <c r="AFJ1" s="10"/>
      <c r="AFK1" s="10"/>
      <c r="AFL1" s="10"/>
      <c r="AFM1" s="10"/>
      <c r="AFN1" s="10"/>
      <c r="AFO1" s="10"/>
      <c r="AFP1" s="10"/>
      <c r="AFQ1" s="10"/>
      <c r="AFR1" s="10"/>
      <c r="AFS1" s="10"/>
      <c r="AFT1" s="10"/>
      <c r="AFU1" s="10"/>
      <c r="AFV1" s="10"/>
      <c r="AFW1" s="10"/>
      <c r="AFX1" s="10"/>
      <c r="AFY1" s="10"/>
      <c r="AFZ1" s="10"/>
      <c r="AGA1" s="10"/>
      <c r="AGB1" s="10"/>
      <c r="AGC1" s="10"/>
      <c r="AGD1" s="10"/>
      <c r="AGE1" s="10"/>
      <c r="AGF1" s="10"/>
      <c r="AGG1" s="10"/>
      <c r="AGH1" s="10"/>
      <c r="AGI1" s="10"/>
      <c r="AGJ1" s="10"/>
      <c r="AGK1" s="10"/>
      <c r="AGL1" s="10"/>
      <c r="AGM1" s="10"/>
      <c r="AGN1" s="10"/>
      <c r="AGO1" s="10"/>
      <c r="AGP1" s="10"/>
      <c r="AGQ1" s="10"/>
      <c r="AGR1" s="10"/>
      <c r="AGS1" s="10"/>
      <c r="AGT1" s="10"/>
      <c r="AGU1" s="10"/>
      <c r="AGV1" s="10"/>
      <c r="AGW1" s="10"/>
      <c r="AGX1" s="10"/>
      <c r="AGY1" s="10"/>
      <c r="AGZ1" s="10"/>
      <c r="AHA1" s="10"/>
      <c r="AHB1" s="10"/>
      <c r="AHC1" s="10"/>
      <c r="AHD1" s="10"/>
      <c r="AHE1" s="10"/>
      <c r="AHF1" s="10"/>
      <c r="AHG1" s="10"/>
      <c r="AHH1" s="10"/>
      <c r="AHI1" s="10"/>
      <c r="AHJ1" s="10"/>
      <c r="AHK1" s="10"/>
      <c r="AHL1" s="10"/>
      <c r="AHM1" s="10"/>
      <c r="AHN1" s="10"/>
      <c r="AHO1" s="10"/>
      <c r="AHP1" s="10"/>
      <c r="AHQ1" s="10"/>
      <c r="AHR1" s="10"/>
      <c r="AHS1" s="10"/>
      <c r="AHT1" s="10"/>
      <c r="AHU1" s="10"/>
      <c r="AHV1" s="10"/>
      <c r="AHW1" s="10"/>
      <c r="AHX1" s="10"/>
      <c r="AHY1" s="10"/>
      <c r="AHZ1" s="10"/>
      <c r="AIA1" s="10"/>
      <c r="AIB1" s="10"/>
      <c r="AIC1" s="10"/>
      <c r="AID1" s="10"/>
      <c r="AIE1" s="10"/>
      <c r="AIF1" s="10"/>
      <c r="AIG1" s="10"/>
      <c r="AIH1" s="10"/>
      <c r="AII1" s="10"/>
      <c r="AIJ1" s="10"/>
      <c r="AIK1" s="10"/>
      <c r="AIL1" s="10"/>
      <c r="AIM1" s="10"/>
      <c r="AIN1" s="10"/>
      <c r="AIO1" s="10"/>
      <c r="AIP1" s="10"/>
      <c r="AIQ1" s="10"/>
      <c r="AIR1" s="10"/>
      <c r="AIS1" s="10"/>
      <c r="AIT1" s="10"/>
      <c r="AIU1" s="10"/>
      <c r="AIV1" s="10"/>
      <c r="AIW1" s="10"/>
      <c r="AIX1" s="10"/>
      <c r="AIY1" s="10"/>
      <c r="AIZ1" s="10"/>
      <c r="AJA1" s="10"/>
      <c r="AJB1" s="10"/>
      <c r="AJC1" s="10"/>
      <c r="AJD1" s="10"/>
      <c r="AJE1" s="10"/>
      <c r="AJF1" s="10"/>
      <c r="AJG1" s="10"/>
      <c r="AJH1" s="10"/>
      <c r="AJI1" s="10"/>
      <c r="AJJ1" s="10"/>
      <c r="AJK1" s="10"/>
      <c r="AJL1" s="10"/>
      <c r="AJM1" s="10"/>
      <c r="AJN1" s="10"/>
      <c r="AJO1" s="10"/>
      <c r="AJP1" s="10"/>
      <c r="AJQ1" s="10"/>
      <c r="AJR1" s="10"/>
      <c r="AJS1" s="10"/>
      <c r="AJT1" s="10"/>
      <c r="AJU1" s="10"/>
      <c r="AJV1" s="10"/>
      <c r="AJW1" s="10"/>
      <c r="AJX1" s="10"/>
      <c r="AJY1" s="10"/>
      <c r="AJZ1" s="10"/>
      <c r="AKA1" s="10"/>
      <c r="AKB1" s="10"/>
      <c r="AKC1" s="10"/>
      <c r="AKD1" s="10"/>
      <c r="AKE1" s="10"/>
      <c r="AKF1" s="10"/>
      <c r="AKG1" s="10"/>
      <c r="AKH1" s="10"/>
      <c r="AKI1" s="10"/>
      <c r="AKJ1" s="10"/>
      <c r="AKK1" s="10"/>
      <c r="AKL1" s="10"/>
      <c r="AKM1" s="10"/>
      <c r="AKN1" s="10"/>
      <c r="AKO1" s="10"/>
      <c r="AKP1" s="10"/>
      <c r="AKQ1" s="10"/>
      <c r="AKR1" s="10"/>
      <c r="AKS1" s="10"/>
      <c r="AKT1" s="10"/>
      <c r="AKU1" s="10"/>
      <c r="AKV1" s="10"/>
      <c r="AKW1" s="10"/>
      <c r="AKX1" s="10"/>
      <c r="AKY1" s="10"/>
      <c r="AKZ1" s="10"/>
      <c r="ALA1" s="10"/>
      <c r="ALB1" s="10"/>
      <c r="ALC1" s="10"/>
      <c r="ALD1" s="10"/>
      <c r="ALE1" s="10"/>
      <c r="ALF1" s="10"/>
      <c r="ALG1" s="10"/>
      <c r="ALH1" s="10"/>
      <c r="ALI1" s="10"/>
      <c r="ALJ1" s="10"/>
      <c r="ALK1" s="10"/>
      <c r="ALL1" s="10"/>
      <c r="ALM1" s="10"/>
      <c r="ALN1" s="10"/>
      <c r="ALO1" s="10"/>
      <c r="ALP1" s="10"/>
      <c r="ALQ1" s="10"/>
      <c r="ALR1" s="10"/>
      <c r="ALS1" s="10"/>
      <c r="ALT1" s="10"/>
      <c r="ALU1" s="10"/>
      <c r="ALV1" s="10"/>
      <c r="ALW1" s="10"/>
      <c r="ALX1" s="10"/>
      <c r="ALY1" s="10"/>
      <c r="ALZ1" s="10"/>
      <c r="AMA1" s="10"/>
      <c r="AMB1" s="10"/>
      <c r="AMC1" s="10"/>
      <c r="AMD1" s="10"/>
      <c r="AME1" s="10"/>
      <c r="AMF1" s="10"/>
      <c r="AMG1" s="10"/>
      <c r="AMH1" s="10"/>
      <c r="AMI1" s="10"/>
      <c r="AMJ1" s="10"/>
      <c r="AMK1" s="10"/>
      <c r="AML1" s="10"/>
      <c r="AMM1" s="10"/>
      <c r="AMN1" s="10"/>
      <c r="AMO1" s="10"/>
      <c r="AMP1" s="10"/>
      <c r="AMQ1" s="10"/>
      <c r="AMR1" s="10"/>
      <c r="AMS1" s="10"/>
      <c r="AMT1" s="10"/>
      <c r="AMU1" s="10"/>
      <c r="AMV1" s="10"/>
      <c r="AMW1" s="10"/>
      <c r="AMX1" s="10"/>
      <c r="AMY1" s="10"/>
      <c r="AMZ1" s="10"/>
      <c r="ANA1" s="10"/>
      <c r="ANB1" s="10"/>
      <c r="ANC1" s="10"/>
      <c r="AND1" s="10"/>
      <c r="ANE1" s="10"/>
      <c r="ANF1" s="10"/>
      <c r="ANG1" s="10"/>
      <c r="ANH1" s="10"/>
      <c r="ANI1" s="10"/>
      <c r="ANJ1" s="10"/>
      <c r="ANK1" s="10"/>
      <c r="ANL1" s="10"/>
      <c r="ANM1" s="10"/>
      <c r="ANN1" s="10"/>
      <c r="ANO1" s="10"/>
      <c r="ANP1" s="10"/>
      <c r="ANQ1" s="10"/>
      <c r="ANR1" s="10"/>
      <c r="ANS1" s="10"/>
      <c r="ANT1" s="10"/>
      <c r="ANU1" s="10"/>
      <c r="ANV1" s="10"/>
      <c r="ANW1" s="10"/>
      <c r="ANX1" s="10"/>
      <c r="ANY1" s="10"/>
      <c r="ANZ1" s="10"/>
      <c r="AOA1" s="10"/>
      <c r="AOB1" s="10"/>
      <c r="AOC1" s="10"/>
      <c r="AOD1" s="10"/>
      <c r="AOE1" s="10"/>
      <c r="AOF1" s="10"/>
      <c r="AOG1" s="10"/>
      <c r="AOH1" s="10"/>
      <c r="AOI1" s="10"/>
      <c r="AOJ1" s="10"/>
      <c r="AOK1" s="10"/>
      <c r="AOL1" s="10"/>
      <c r="AOM1" s="10"/>
      <c r="AON1" s="10"/>
      <c r="AOO1" s="10"/>
      <c r="AOP1" s="10"/>
      <c r="AOQ1" s="10"/>
      <c r="AOR1" s="10"/>
      <c r="AOS1" s="10"/>
      <c r="AOT1" s="10"/>
      <c r="AOU1" s="10"/>
      <c r="AOV1" s="10"/>
      <c r="AOW1" s="10"/>
      <c r="AOX1" s="10"/>
      <c r="AOY1" s="10"/>
      <c r="AOZ1" s="10"/>
      <c r="APA1" s="10"/>
      <c r="APB1" s="10"/>
      <c r="APC1" s="10"/>
      <c r="APD1" s="10"/>
      <c r="APE1" s="10"/>
      <c r="APF1" s="10"/>
      <c r="APG1" s="10"/>
      <c r="APH1" s="10"/>
      <c r="API1" s="10"/>
      <c r="APJ1" s="10"/>
      <c r="APK1" s="10"/>
      <c r="APL1" s="10"/>
      <c r="APM1" s="10"/>
      <c r="APN1" s="10"/>
      <c r="APO1" s="10"/>
      <c r="APP1" s="10"/>
      <c r="APQ1" s="10"/>
      <c r="APR1" s="10"/>
      <c r="APS1" s="10"/>
      <c r="APT1" s="10"/>
      <c r="APU1" s="10"/>
      <c r="APV1" s="10"/>
      <c r="APW1" s="10"/>
      <c r="APX1" s="10"/>
      <c r="APY1" s="10"/>
      <c r="APZ1" s="10"/>
      <c r="AQA1" s="10"/>
      <c r="AQB1" s="10"/>
      <c r="AQC1" s="10"/>
      <c r="AQD1" s="10"/>
      <c r="AQE1" s="10"/>
      <c r="AQF1" s="10"/>
      <c r="AQG1" s="10"/>
      <c r="AQH1" s="10"/>
      <c r="AQI1" s="10"/>
      <c r="AQJ1" s="10"/>
      <c r="AQK1" s="10"/>
      <c r="AQL1" s="10"/>
      <c r="AQM1" s="10"/>
      <c r="AQN1" s="10"/>
      <c r="AQO1" s="10"/>
      <c r="AQP1" s="10"/>
      <c r="AQQ1" s="10"/>
      <c r="AQR1" s="10"/>
      <c r="AQS1" s="10"/>
      <c r="AQT1" s="10"/>
      <c r="AQU1" s="10"/>
      <c r="AQV1" s="10"/>
      <c r="AQW1" s="10"/>
      <c r="AQX1" s="10"/>
      <c r="AQY1" s="10"/>
      <c r="AQZ1" s="10"/>
      <c r="ARA1" s="10"/>
      <c r="ARB1" s="10"/>
      <c r="ARC1" s="10"/>
      <c r="ARD1" s="10"/>
      <c r="ARE1" s="10"/>
      <c r="ARF1" s="10"/>
      <c r="ARG1" s="10"/>
      <c r="ARH1" s="10"/>
      <c r="ARI1" s="10"/>
      <c r="ARJ1" s="10"/>
      <c r="ARK1" s="10"/>
      <c r="ARL1" s="10"/>
      <c r="ARM1" s="10"/>
      <c r="ARN1" s="10"/>
      <c r="ARO1" s="10"/>
      <c r="ARP1" s="10"/>
      <c r="ARQ1" s="10"/>
      <c r="ARR1" s="10"/>
      <c r="ARS1" s="10"/>
      <c r="ART1" s="10"/>
      <c r="ARU1" s="10"/>
      <c r="ARV1" s="10"/>
      <c r="ARW1" s="10"/>
      <c r="ARX1" s="10"/>
      <c r="ARY1" s="10"/>
      <c r="ARZ1" s="10"/>
      <c r="ASA1" s="10"/>
      <c r="ASB1" s="10"/>
      <c r="ASC1" s="10"/>
      <c r="ASD1" s="10"/>
      <c r="ASE1" s="10"/>
      <c r="ASF1" s="10"/>
      <c r="ASG1" s="10"/>
      <c r="ASH1" s="10"/>
      <c r="ASI1" s="10"/>
      <c r="ASJ1" s="10"/>
      <c r="ASK1" s="10"/>
      <c r="ASL1" s="10"/>
      <c r="ASM1" s="10"/>
      <c r="ASN1" s="10"/>
      <c r="ASO1" s="10"/>
      <c r="ASP1" s="10"/>
      <c r="ASQ1" s="10"/>
      <c r="ASR1" s="10"/>
      <c r="ASS1" s="10"/>
      <c r="AST1" s="10"/>
      <c r="ASU1" s="10"/>
      <c r="ASV1" s="10"/>
      <c r="ASW1" s="10"/>
      <c r="ASX1" s="10"/>
      <c r="ASY1" s="10"/>
      <c r="ASZ1" s="10"/>
      <c r="ATA1" s="10"/>
      <c r="ATB1" s="10"/>
      <c r="ATC1" s="10"/>
      <c r="ATD1" s="10"/>
      <c r="ATE1" s="10"/>
      <c r="ATF1" s="10"/>
      <c r="ATG1" s="10"/>
      <c r="ATH1" s="10"/>
      <c r="ATI1" s="10"/>
      <c r="ATJ1" s="10"/>
      <c r="ATK1" s="10"/>
      <c r="ATL1" s="10"/>
      <c r="ATM1" s="10"/>
      <c r="ATN1" s="10"/>
      <c r="ATO1" s="10"/>
      <c r="ATP1" s="10"/>
      <c r="ATQ1" s="10"/>
      <c r="ATR1" s="10"/>
      <c r="ATS1" s="10"/>
      <c r="ATT1" s="10"/>
      <c r="ATU1" s="10"/>
      <c r="ATV1" s="10"/>
      <c r="ATW1" s="10"/>
      <c r="ATX1" s="10"/>
      <c r="ATY1" s="10"/>
      <c r="ATZ1" s="10"/>
      <c r="AUA1" s="10"/>
      <c r="AUB1" s="10"/>
      <c r="AUC1" s="10"/>
      <c r="AUD1" s="10"/>
      <c r="AUE1" s="10"/>
      <c r="AUF1" s="10"/>
      <c r="AUG1" s="10"/>
      <c r="AUH1" s="10"/>
      <c r="AUI1" s="10"/>
      <c r="AUJ1" s="10"/>
      <c r="AUK1" s="10"/>
      <c r="AUL1" s="10"/>
      <c r="AUM1" s="10"/>
      <c r="AUN1" s="10"/>
      <c r="AUO1" s="10"/>
      <c r="AUP1" s="10"/>
      <c r="AUQ1" s="10"/>
      <c r="AUR1" s="10"/>
      <c r="AUS1" s="10"/>
      <c r="AUT1" s="10"/>
      <c r="AUU1" s="10"/>
      <c r="AUV1" s="10"/>
      <c r="AUW1" s="10"/>
      <c r="AUX1" s="10"/>
      <c r="AUY1" s="10"/>
      <c r="AUZ1" s="10"/>
      <c r="AVA1" s="10"/>
      <c r="AVB1" s="10"/>
      <c r="AVC1" s="10"/>
      <c r="AVD1" s="10"/>
      <c r="AVE1" s="10"/>
      <c r="AVF1" s="10"/>
      <c r="AVG1" s="10"/>
      <c r="AVH1" s="10"/>
      <c r="AVI1" s="10"/>
      <c r="AVJ1" s="10"/>
      <c r="AVK1" s="10"/>
      <c r="AVL1" s="10"/>
      <c r="AVM1" s="10"/>
      <c r="AVN1" s="10"/>
      <c r="AVO1" s="10"/>
      <c r="AVP1" s="10"/>
      <c r="AVQ1" s="10"/>
      <c r="AVR1" s="10"/>
      <c r="AVS1" s="10"/>
      <c r="AVT1" s="10"/>
      <c r="AVU1" s="10"/>
      <c r="AVV1" s="10"/>
      <c r="AVW1" s="10"/>
      <c r="AVX1" s="10"/>
      <c r="AVY1" s="10"/>
      <c r="AVZ1" s="10"/>
      <c r="AWA1" s="10"/>
      <c r="AWB1" s="10"/>
      <c r="AWC1" s="10"/>
      <c r="AWD1" s="10"/>
      <c r="AWE1" s="10"/>
      <c r="AWF1" s="10"/>
      <c r="AWG1" s="10"/>
      <c r="AWH1" s="10"/>
      <c r="AWI1" s="10"/>
      <c r="AWJ1" s="10"/>
      <c r="AWK1" s="10"/>
      <c r="AWL1" s="10"/>
      <c r="AWM1" s="10"/>
      <c r="AWN1" s="10"/>
      <c r="AWO1" s="10"/>
      <c r="AWP1" s="10"/>
      <c r="AWQ1" s="10"/>
      <c r="AWR1" s="10"/>
      <c r="AWS1" s="10"/>
      <c r="AWT1" s="10"/>
      <c r="AWU1" s="10"/>
      <c r="AWV1" s="10"/>
      <c r="AWW1" s="10"/>
      <c r="AWX1" s="10"/>
      <c r="AWY1" s="10"/>
      <c r="AWZ1" s="10"/>
      <c r="AXA1" s="10"/>
      <c r="AXB1" s="10"/>
      <c r="AXC1" s="10"/>
      <c r="AXD1" s="10"/>
      <c r="AXE1" s="10"/>
      <c r="AXF1" s="10"/>
      <c r="AXG1" s="10"/>
      <c r="AXH1" s="10"/>
      <c r="AXI1" s="10"/>
      <c r="AXJ1" s="10"/>
      <c r="AXK1" s="10"/>
      <c r="AXL1" s="10"/>
      <c r="AXM1" s="10"/>
      <c r="AXN1" s="10"/>
      <c r="AXO1" s="10"/>
      <c r="AXP1" s="10"/>
      <c r="AXQ1" s="10"/>
      <c r="AXR1" s="10"/>
      <c r="AXS1" s="10"/>
      <c r="AXT1" s="10"/>
      <c r="AXU1" s="10"/>
      <c r="AXV1" s="10"/>
      <c r="AXW1" s="10"/>
      <c r="AXX1" s="10"/>
      <c r="AXY1" s="10"/>
      <c r="AXZ1" s="10"/>
      <c r="AYA1" s="10"/>
      <c r="AYB1" s="10"/>
      <c r="AYC1" s="10"/>
      <c r="AYD1" s="10"/>
      <c r="AYE1" s="10"/>
      <c r="AYF1" s="10"/>
      <c r="AYG1" s="10"/>
      <c r="AYH1" s="10"/>
      <c r="AYI1" s="10"/>
      <c r="AYJ1" s="10"/>
      <c r="AYK1" s="10"/>
      <c r="AYL1" s="10"/>
      <c r="AYM1" s="10"/>
      <c r="AYN1" s="10"/>
      <c r="AYO1" s="10"/>
      <c r="AYP1" s="10"/>
      <c r="AYQ1" s="10"/>
      <c r="AYR1" s="10"/>
      <c r="AYS1" s="10"/>
      <c r="AYT1" s="10"/>
      <c r="AYU1" s="10"/>
      <c r="AYV1" s="10"/>
      <c r="AYW1" s="10"/>
      <c r="AYX1" s="10"/>
      <c r="AYY1" s="10"/>
      <c r="AYZ1" s="10"/>
      <c r="AZA1" s="10"/>
      <c r="AZB1" s="10"/>
      <c r="AZC1" s="10"/>
      <c r="AZD1" s="10"/>
      <c r="AZE1" s="10"/>
      <c r="AZF1" s="10"/>
      <c r="AZG1" s="10"/>
      <c r="AZH1" s="10"/>
      <c r="AZI1" s="10"/>
      <c r="AZJ1" s="10"/>
      <c r="AZK1" s="10"/>
      <c r="AZL1" s="10"/>
      <c r="AZM1" s="10"/>
      <c r="AZN1" s="10"/>
      <c r="AZO1" s="10"/>
      <c r="AZP1" s="10"/>
      <c r="AZQ1" s="10"/>
      <c r="AZR1" s="10"/>
      <c r="AZS1" s="10"/>
      <c r="AZT1" s="10"/>
      <c r="AZU1" s="10"/>
      <c r="AZV1" s="10"/>
      <c r="AZW1" s="10"/>
      <c r="AZX1" s="10"/>
      <c r="AZY1" s="10"/>
      <c r="AZZ1" s="10"/>
      <c r="BAA1" s="10"/>
      <c r="BAB1" s="10"/>
      <c r="BAC1" s="10"/>
      <c r="BAD1" s="10"/>
      <c r="BAE1" s="10"/>
      <c r="BAF1" s="10"/>
      <c r="BAG1" s="10"/>
      <c r="BAH1" s="10"/>
      <c r="BAI1" s="10"/>
      <c r="BAJ1" s="10"/>
      <c r="BAK1" s="10"/>
      <c r="BAL1" s="10"/>
      <c r="BAM1" s="10"/>
      <c r="BAN1" s="10"/>
      <c r="BAO1" s="10"/>
      <c r="BAP1" s="10"/>
      <c r="BAQ1" s="10"/>
      <c r="BAR1" s="10"/>
      <c r="BAS1" s="10"/>
      <c r="BAT1" s="10"/>
      <c r="BAU1" s="10"/>
      <c r="BAV1" s="10"/>
      <c r="BAW1" s="10"/>
      <c r="BAX1" s="10"/>
      <c r="BAY1" s="10"/>
      <c r="BAZ1" s="10"/>
      <c r="BBA1" s="10"/>
      <c r="BBB1" s="10"/>
      <c r="BBC1" s="10"/>
      <c r="BBD1" s="10"/>
      <c r="BBE1" s="10"/>
      <c r="BBF1" s="10"/>
      <c r="BBG1" s="10"/>
      <c r="BBH1" s="10"/>
      <c r="BBI1" s="10"/>
      <c r="BBJ1" s="10"/>
      <c r="BBK1" s="10"/>
      <c r="BBL1" s="10"/>
      <c r="BBM1" s="10"/>
      <c r="BBN1" s="10"/>
      <c r="BBO1" s="10"/>
      <c r="BBP1" s="10"/>
      <c r="BBQ1" s="10"/>
      <c r="BBR1" s="10"/>
      <c r="BBS1" s="10"/>
      <c r="BBT1" s="10"/>
      <c r="BBU1" s="10"/>
      <c r="BBV1" s="10"/>
      <c r="BBW1" s="10"/>
      <c r="BBX1" s="10"/>
      <c r="BBY1" s="10"/>
      <c r="BBZ1" s="10"/>
      <c r="BCA1" s="10"/>
      <c r="BCB1" s="10"/>
      <c r="BCC1" s="10"/>
      <c r="BCD1" s="10"/>
      <c r="BCE1" s="10"/>
      <c r="BCF1" s="10"/>
      <c r="BCG1" s="10"/>
      <c r="BCH1" s="10"/>
      <c r="BCI1" s="10"/>
      <c r="BCJ1" s="10"/>
      <c r="BCK1" s="10"/>
      <c r="BCL1" s="10"/>
      <c r="BCM1" s="10"/>
      <c r="BCN1" s="10"/>
      <c r="BCO1" s="10"/>
      <c r="BCP1" s="10"/>
      <c r="BCQ1" s="10"/>
      <c r="BCR1" s="10"/>
      <c r="BCS1" s="10"/>
      <c r="BCT1" s="10"/>
      <c r="BCU1" s="10"/>
      <c r="BCV1" s="10"/>
      <c r="BCW1" s="10"/>
      <c r="BCX1" s="10"/>
      <c r="BCY1" s="10"/>
      <c r="BCZ1" s="10"/>
      <c r="BDA1" s="10"/>
      <c r="BDB1" s="10"/>
      <c r="BDC1" s="10"/>
      <c r="BDD1" s="10"/>
      <c r="BDE1" s="10"/>
      <c r="BDF1" s="10"/>
      <c r="BDG1" s="10"/>
      <c r="BDH1" s="10"/>
      <c r="BDI1" s="10"/>
      <c r="BDJ1" s="10"/>
      <c r="BDK1" s="10"/>
      <c r="BDL1" s="10"/>
      <c r="BDM1" s="10"/>
      <c r="BDN1" s="10"/>
      <c r="BDO1" s="10"/>
      <c r="BDP1" s="10"/>
      <c r="BDQ1" s="10"/>
      <c r="BDR1" s="10"/>
      <c r="BDS1" s="10"/>
      <c r="BDT1" s="10"/>
      <c r="BDU1" s="10"/>
      <c r="BDV1" s="10"/>
      <c r="BDW1" s="10"/>
      <c r="BDX1" s="10"/>
      <c r="BDY1" s="10"/>
      <c r="BDZ1" s="10"/>
      <c r="BEA1" s="10"/>
      <c r="BEB1" s="10"/>
      <c r="BEC1" s="10"/>
      <c r="BED1" s="10"/>
      <c r="BEE1" s="10"/>
      <c r="BEF1" s="10"/>
      <c r="BEG1" s="10"/>
      <c r="BEH1" s="10"/>
      <c r="BEI1" s="10"/>
      <c r="BEJ1" s="10"/>
      <c r="BEK1" s="10"/>
      <c r="BEL1" s="10"/>
      <c r="BEM1" s="10"/>
      <c r="BEN1" s="10"/>
      <c r="BEO1" s="10"/>
      <c r="BEP1" s="10"/>
      <c r="BEQ1" s="10"/>
      <c r="BER1" s="10"/>
      <c r="BES1" s="9" t="s">
        <v>81</v>
      </c>
      <c r="BET1" s="9" t="s">
        <v>40</v>
      </c>
      <c r="BEU1" s="9" t="s">
        <v>41</v>
      </c>
      <c r="BEV1" s="10" t="s">
        <v>42</v>
      </c>
      <c r="BEW1" s="9" t="s">
        <v>43</v>
      </c>
      <c r="BEX1" s="10" t="s">
        <v>79</v>
      </c>
      <c r="BEY1" s="10"/>
      <c r="BEZ1" s="10"/>
      <c r="BFA1" s="10"/>
      <c r="BFB1" s="10"/>
      <c r="BFC1" s="10"/>
      <c r="BFD1" s="10"/>
      <c r="BFE1" s="10"/>
      <c r="BFF1" s="10"/>
      <c r="BFG1" s="10"/>
      <c r="BFH1" s="10"/>
      <c r="BFI1" s="10"/>
      <c r="BFJ1" s="10"/>
      <c r="BFK1" s="10"/>
      <c r="BFL1" s="10"/>
      <c r="BFM1" s="10"/>
      <c r="BFN1" s="10"/>
      <c r="BFO1" s="10"/>
      <c r="BFP1" s="10"/>
      <c r="BFQ1" s="10"/>
      <c r="BFR1" s="10"/>
      <c r="BFS1" s="10"/>
      <c r="BFT1" s="10"/>
      <c r="BFU1" s="10"/>
      <c r="BFV1" s="10"/>
      <c r="BFW1" s="10"/>
      <c r="BFX1" s="10"/>
      <c r="BFY1" s="10"/>
      <c r="BFZ1" s="10"/>
      <c r="BGA1" s="10"/>
      <c r="BGB1" s="10"/>
      <c r="BGC1" s="10"/>
      <c r="BGD1" s="10"/>
      <c r="BGE1" s="10"/>
      <c r="BGF1" s="10"/>
      <c r="BGG1" s="10"/>
      <c r="BGH1" s="10"/>
      <c r="BGI1" s="10"/>
      <c r="BGJ1" s="10"/>
      <c r="BGK1" s="10"/>
      <c r="BGL1" s="10"/>
      <c r="BGM1" s="10"/>
      <c r="BGN1" s="10"/>
      <c r="BGO1" s="10"/>
      <c r="BGP1" s="10"/>
      <c r="BGQ1" s="10"/>
      <c r="BGR1" s="10"/>
      <c r="BGS1" s="10"/>
      <c r="BGT1" s="10"/>
      <c r="BGU1" s="10"/>
      <c r="BGV1" s="10"/>
      <c r="BGW1" s="10"/>
      <c r="BGX1" s="10"/>
      <c r="BGY1" s="10"/>
      <c r="BGZ1" s="10"/>
      <c r="BHA1" s="10"/>
      <c r="BHB1" s="10"/>
      <c r="BHC1" s="10"/>
      <c r="BHD1" s="10"/>
      <c r="BHE1" s="10"/>
      <c r="BHF1" s="10"/>
      <c r="BHG1" s="10"/>
      <c r="BHH1" s="10"/>
      <c r="BHI1" s="10"/>
      <c r="BHJ1" s="10"/>
      <c r="BHK1" s="10"/>
      <c r="BHL1" s="10"/>
      <c r="BHM1" s="10"/>
      <c r="BHN1" s="10"/>
      <c r="BHO1" s="10"/>
      <c r="BHP1" s="10"/>
      <c r="BHQ1" s="10"/>
      <c r="BHR1" s="10"/>
      <c r="BHS1" s="10"/>
      <c r="BHT1" s="10"/>
      <c r="BHU1" s="10"/>
      <c r="BHV1" s="10"/>
      <c r="BHW1" s="10"/>
      <c r="BHX1" s="10"/>
      <c r="BHY1" s="10"/>
      <c r="BHZ1" s="10"/>
      <c r="BIA1" s="10"/>
      <c r="BIB1" s="10"/>
      <c r="BIC1" s="10"/>
      <c r="BID1" s="10"/>
      <c r="BIE1" s="10"/>
      <c r="BIF1" s="10"/>
      <c r="BIG1" s="10"/>
      <c r="BIH1" s="10"/>
      <c r="BII1" s="10"/>
      <c r="BIJ1" s="10"/>
      <c r="BIK1" s="10"/>
      <c r="BIL1" s="10"/>
      <c r="BIM1" s="10"/>
      <c r="BIN1" s="10"/>
      <c r="BIO1" s="9" t="s">
        <v>82</v>
      </c>
      <c r="BIP1" s="9" t="s">
        <v>26</v>
      </c>
      <c r="BIQ1" s="9" t="s">
        <v>83</v>
      </c>
      <c r="BIR1" s="9" t="s">
        <v>84</v>
      </c>
      <c r="BIS1" s="10" t="s">
        <v>85</v>
      </c>
      <c r="BIT1" s="9" t="s">
        <v>86</v>
      </c>
      <c r="BIU1" s="9" t="s">
        <v>87</v>
      </c>
      <c r="BIV1" s="9" t="s">
        <v>88</v>
      </c>
      <c r="BIW1" s="9" t="s">
        <v>30</v>
      </c>
      <c r="BIX1" s="9" t="s">
        <v>31</v>
      </c>
      <c r="BIY1" s="11" t="s">
        <v>89</v>
      </c>
      <c r="BIZ1" s="11" t="s">
        <v>90</v>
      </c>
      <c r="BJA1" s="11" t="s">
        <v>91</v>
      </c>
      <c r="BJB1" s="11" t="s">
        <v>92</v>
      </c>
      <c r="BJC1" s="12" t="s">
        <v>93</v>
      </c>
      <c r="BJD1" s="9" t="s">
        <v>94</v>
      </c>
      <c r="BJE1" s="9" t="s">
        <v>95</v>
      </c>
      <c r="BJF1" s="9" t="s">
        <v>96</v>
      </c>
      <c r="BJG1" s="9" t="s">
        <v>40</v>
      </c>
      <c r="BJH1" s="9" t="s">
        <v>41</v>
      </c>
      <c r="BJI1" s="9" t="s">
        <v>42</v>
      </c>
      <c r="BJJ1" s="9" t="s">
        <v>43</v>
      </c>
      <c r="BJK1" s="10" t="s">
        <v>97</v>
      </c>
      <c r="BJL1" s="10" t="s">
        <v>98</v>
      </c>
      <c r="BJM1" s="10"/>
      <c r="BJN1" s="10"/>
      <c r="BJO1" s="10"/>
      <c r="BJP1" s="10"/>
      <c r="BJQ1" s="10"/>
      <c r="BJR1" s="10"/>
      <c r="BJS1" s="10"/>
      <c r="BJT1" s="10"/>
      <c r="BJU1" s="10"/>
      <c r="BJV1" s="10"/>
      <c r="BJW1" s="10"/>
      <c r="BJX1" s="10"/>
      <c r="BJY1" s="10"/>
      <c r="BJZ1" s="10"/>
      <c r="BKA1" s="10"/>
      <c r="BKB1" s="10"/>
      <c r="BKC1" s="10"/>
      <c r="BKD1" s="10"/>
      <c r="BKE1" s="10"/>
      <c r="BKF1" s="10"/>
      <c r="BKG1" s="10"/>
      <c r="BKH1" s="10"/>
      <c r="BKI1" s="10"/>
      <c r="BKJ1" s="10"/>
      <c r="BKK1" s="10"/>
      <c r="BKL1" s="10"/>
      <c r="BKM1" s="10"/>
      <c r="BKN1" s="10"/>
      <c r="BKO1" s="10"/>
      <c r="BKP1" s="10"/>
      <c r="BKQ1" s="10"/>
      <c r="BKR1" s="10"/>
      <c r="BKS1" s="10"/>
      <c r="BKT1" s="10"/>
      <c r="BKU1" s="10"/>
      <c r="BKV1" s="10"/>
      <c r="BKW1" s="10"/>
      <c r="BKX1" s="10"/>
      <c r="BKY1" s="10"/>
      <c r="BKZ1" s="10"/>
      <c r="BLA1" s="10"/>
      <c r="BLB1" s="10"/>
      <c r="BLC1" s="10"/>
      <c r="BLD1" s="10"/>
      <c r="BLE1" s="10"/>
      <c r="BLF1" s="10"/>
      <c r="BLG1" s="10"/>
      <c r="BLH1" s="10"/>
      <c r="BLI1" s="10"/>
      <c r="BLJ1" s="10"/>
      <c r="BLK1" s="10"/>
      <c r="BLL1" s="10"/>
      <c r="BLM1" s="10"/>
      <c r="BLN1" s="10"/>
      <c r="BLO1" s="10"/>
      <c r="BLP1" s="10"/>
      <c r="BLQ1" s="10"/>
      <c r="BLR1" s="10"/>
      <c r="BLS1" s="10"/>
      <c r="BLT1" s="10"/>
      <c r="BLU1" s="10"/>
      <c r="BLV1" s="10"/>
      <c r="BLW1" s="10"/>
      <c r="BLX1" s="10"/>
      <c r="BLY1" s="10"/>
      <c r="BLZ1" s="10"/>
      <c r="BMA1" s="10"/>
      <c r="BMB1" s="10"/>
      <c r="BMC1" s="10"/>
      <c r="BMD1" s="10"/>
      <c r="BME1" s="10"/>
      <c r="BMF1" s="10"/>
      <c r="BMG1" s="10"/>
      <c r="BMH1" s="10"/>
      <c r="BMI1" s="10"/>
      <c r="BMJ1" s="10"/>
      <c r="BMK1" s="10"/>
      <c r="BML1" s="10"/>
      <c r="BMM1" s="10"/>
      <c r="BMN1" s="10"/>
      <c r="BMO1" s="10"/>
      <c r="BMP1" s="10"/>
      <c r="BMQ1" s="10"/>
      <c r="BMR1" s="10"/>
      <c r="BMS1" s="10"/>
      <c r="BMT1" s="10"/>
      <c r="BMU1" s="10"/>
      <c r="BMV1" s="10"/>
      <c r="BMW1" s="10"/>
      <c r="BMX1" s="10"/>
      <c r="BMY1" s="10"/>
      <c r="BMZ1" s="10"/>
      <c r="BNA1" s="10"/>
      <c r="BNB1" s="10"/>
      <c r="BNC1" s="10"/>
      <c r="BND1" s="10"/>
      <c r="BNE1" s="10"/>
      <c r="BNF1" s="10"/>
      <c r="BNG1" s="10"/>
      <c r="BNH1" s="10"/>
      <c r="BNI1" s="10"/>
      <c r="BNJ1" s="10"/>
      <c r="BNK1" s="10"/>
      <c r="BNL1" s="10"/>
      <c r="BNM1" s="10"/>
      <c r="BNN1" s="10"/>
      <c r="BNO1" s="10"/>
      <c r="BNP1" s="10"/>
      <c r="BNQ1" s="10"/>
      <c r="BNR1" s="10"/>
      <c r="BNS1" s="10"/>
      <c r="BNT1" s="10"/>
      <c r="BNU1" s="10"/>
      <c r="BNV1" s="10"/>
      <c r="BNW1" s="10"/>
      <c r="BNX1" s="10"/>
      <c r="BNY1" s="10"/>
      <c r="BNZ1" s="10"/>
      <c r="BOA1" s="10"/>
      <c r="BOB1" s="10"/>
      <c r="BOC1" s="10"/>
      <c r="BOD1" s="10"/>
      <c r="BOE1" s="10"/>
      <c r="BOF1" s="10"/>
      <c r="BOG1" s="10"/>
      <c r="BOH1" s="10"/>
      <c r="BOI1" s="10"/>
      <c r="BOJ1" s="10"/>
      <c r="BOK1" s="10"/>
      <c r="BOL1" s="10"/>
      <c r="BOM1" s="10"/>
      <c r="BON1" s="10"/>
      <c r="BOO1" s="10"/>
      <c r="BOP1" s="10"/>
      <c r="BOQ1" s="10"/>
      <c r="BOR1" s="10"/>
      <c r="BOS1" s="10"/>
      <c r="BOT1" s="10"/>
      <c r="BOU1" s="10"/>
      <c r="BOV1" s="10"/>
      <c r="BOW1" s="10"/>
      <c r="BOX1" s="10"/>
      <c r="BOY1" s="10"/>
      <c r="BOZ1" s="10"/>
      <c r="BPA1" s="10"/>
      <c r="BPB1" s="10"/>
      <c r="BPC1" s="10"/>
      <c r="BPD1" s="10"/>
      <c r="BPE1" s="10"/>
      <c r="BPF1" s="10"/>
      <c r="BPG1" s="10"/>
      <c r="BPH1" s="10"/>
      <c r="BPI1" s="10"/>
      <c r="BPJ1" s="10"/>
      <c r="BPK1" s="10"/>
      <c r="BPL1" s="10"/>
      <c r="BPM1" s="10"/>
      <c r="BPN1" s="10"/>
      <c r="BPO1" s="10"/>
      <c r="BPP1" s="10"/>
      <c r="BPQ1" s="10"/>
      <c r="BPR1" s="10"/>
      <c r="BPS1" s="10"/>
      <c r="BPT1" s="10"/>
      <c r="BPU1" s="10"/>
      <c r="BPV1" s="10"/>
      <c r="BPW1" s="10"/>
      <c r="BPX1" s="10"/>
      <c r="BPY1" s="10"/>
      <c r="BPZ1" s="10"/>
      <c r="BQA1" s="10"/>
      <c r="BQB1" s="10"/>
      <c r="BQC1" s="10"/>
      <c r="BQD1" s="10"/>
      <c r="BQE1" s="10"/>
      <c r="BQF1" s="10"/>
      <c r="BQG1" s="10"/>
      <c r="BQH1" s="10"/>
      <c r="BQI1" s="10"/>
      <c r="BQJ1" s="10"/>
      <c r="BQK1" s="10"/>
      <c r="BQL1" s="10"/>
      <c r="BQM1" s="10"/>
      <c r="BQN1" s="10"/>
      <c r="BQO1" s="10"/>
      <c r="BQP1" s="10"/>
      <c r="BQQ1" s="10"/>
      <c r="BQR1" s="10"/>
      <c r="BQS1" s="10"/>
      <c r="BQT1" s="10"/>
      <c r="BQU1" s="10"/>
      <c r="BQV1" s="10"/>
      <c r="BQW1" s="10"/>
      <c r="BQX1" s="10"/>
      <c r="BQY1" s="10"/>
      <c r="BQZ1" s="10"/>
      <c r="BRA1" s="10"/>
      <c r="BRB1" s="10"/>
      <c r="BRC1" s="10"/>
      <c r="BRD1" s="10"/>
      <c r="BRE1" s="10"/>
      <c r="BRF1" s="10"/>
      <c r="BRG1" s="10"/>
      <c r="BRH1" s="10"/>
      <c r="BRI1" s="10"/>
      <c r="BRJ1" s="10"/>
      <c r="BRK1" s="10"/>
      <c r="BRL1" s="10"/>
      <c r="BRM1" s="10"/>
      <c r="BRN1" s="10"/>
      <c r="BRO1" s="10"/>
      <c r="BRP1" s="10"/>
      <c r="BRQ1" s="10"/>
      <c r="BRR1" s="10"/>
      <c r="BRS1" s="10"/>
      <c r="BRT1" s="10"/>
      <c r="BRU1" s="10"/>
      <c r="BRV1" s="10"/>
      <c r="BRW1" s="10"/>
      <c r="BRX1" s="10"/>
      <c r="BRY1" s="10"/>
      <c r="BRZ1" s="10"/>
      <c r="BSA1" s="10"/>
      <c r="BSB1" s="10"/>
      <c r="BSC1" s="10"/>
      <c r="BSD1" s="10"/>
      <c r="BSE1" s="10"/>
      <c r="BSF1" s="10"/>
      <c r="BSG1" s="10"/>
      <c r="BSH1" s="10"/>
      <c r="BSI1" s="10"/>
      <c r="BSJ1" s="10"/>
      <c r="BSK1" s="10"/>
      <c r="BSL1" s="10"/>
      <c r="BSM1" s="10"/>
      <c r="BSN1" s="10"/>
      <c r="BSO1" s="10"/>
      <c r="BSP1" s="10"/>
      <c r="BSQ1" s="10"/>
      <c r="BSR1" s="10"/>
      <c r="BSS1" s="10"/>
      <c r="BST1" s="10"/>
      <c r="BSU1" s="10"/>
      <c r="BSV1" s="10"/>
      <c r="BSW1" s="10"/>
      <c r="BSX1" s="10"/>
      <c r="BSY1" s="10"/>
      <c r="BSZ1" s="10"/>
      <c r="BTA1" s="10"/>
      <c r="BTB1" s="10"/>
      <c r="BTC1" s="10"/>
      <c r="BTD1" s="10"/>
      <c r="BTE1" s="10"/>
      <c r="BTF1" s="10"/>
      <c r="BTG1" s="10"/>
      <c r="BTH1" s="10"/>
      <c r="BTI1" s="10"/>
      <c r="BTJ1" s="10"/>
      <c r="BTK1" s="10"/>
      <c r="BTL1" s="10"/>
      <c r="BTM1" s="10"/>
      <c r="BTN1" s="10"/>
      <c r="BTO1" s="10"/>
      <c r="BTP1" s="10"/>
      <c r="BTQ1" s="10"/>
      <c r="BTR1" s="10"/>
      <c r="BTS1" s="10"/>
      <c r="BTT1" s="10"/>
      <c r="BTU1" s="10"/>
      <c r="BTV1" s="10"/>
      <c r="BTW1" s="10"/>
      <c r="BTX1" s="10"/>
      <c r="BTY1" s="10"/>
      <c r="BTZ1" s="10"/>
      <c r="BUA1" s="10"/>
      <c r="BUB1" s="10"/>
      <c r="BUC1" s="9" t="s">
        <v>99</v>
      </c>
      <c r="BUD1" s="9" t="s">
        <v>40</v>
      </c>
      <c r="BUE1" s="9" t="s">
        <v>41</v>
      </c>
      <c r="BUF1" s="10" t="s">
        <v>42</v>
      </c>
      <c r="BUG1" s="9" t="s">
        <v>43</v>
      </c>
      <c r="BUH1" s="10" t="s">
        <v>76</v>
      </c>
      <c r="BUI1" s="10" t="s">
        <v>77</v>
      </c>
      <c r="BUJ1" s="10" t="s">
        <v>171</v>
      </c>
      <c r="BUK1" s="10" t="s">
        <v>172</v>
      </c>
      <c r="BUL1" s="10" t="s">
        <v>173</v>
      </c>
      <c r="BUM1" s="10" t="s">
        <v>174</v>
      </c>
      <c r="BUN1" s="10" t="s">
        <v>175</v>
      </c>
      <c r="BUO1" s="10" t="s">
        <v>176</v>
      </c>
      <c r="BUP1" s="10" t="s">
        <v>177</v>
      </c>
      <c r="BUQ1" s="10" t="s">
        <v>178</v>
      </c>
      <c r="BUR1" s="10" t="s">
        <v>179</v>
      </c>
      <c r="BUS1" s="10" t="s">
        <v>180</v>
      </c>
      <c r="BUT1" s="10" t="s">
        <v>181</v>
      </c>
      <c r="BUU1" s="10" t="s">
        <v>182</v>
      </c>
      <c r="BUV1" s="10" t="s">
        <v>183</v>
      </c>
      <c r="BUW1" s="10" t="s">
        <v>184</v>
      </c>
      <c r="BUX1" s="10" t="s">
        <v>185</v>
      </c>
      <c r="BUY1" s="10" t="s">
        <v>186</v>
      </c>
      <c r="BUZ1" s="10" t="s">
        <v>187</v>
      </c>
      <c r="BVA1" s="10" t="s">
        <v>188</v>
      </c>
      <c r="BVB1" s="10" t="s">
        <v>189</v>
      </c>
      <c r="BVC1" s="10" t="s">
        <v>190</v>
      </c>
      <c r="BVD1" s="10" t="s">
        <v>191</v>
      </c>
      <c r="BVE1" s="10" t="s">
        <v>192</v>
      </c>
      <c r="BVF1" s="10" t="s">
        <v>193</v>
      </c>
      <c r="BVG1" s="10" t="s">
        <v>194</v>
      </c>
      <c r="BVH1" s="10" t="s">
        <v>195</v>
      </c>
      <c r="BVI1" s="10" t="s">
        <v>196</v>
      </c>
      <c r="BVJ1" s="10" t="s">
        <v>197</v>
      </c>
      <c r="BVK1" s="10" t="s">
        <v>198</v>
      </c>
      <c r="BVL1" s="10" t="s">
        <v>199</v>
      </c>
      <c r="BVM1" s="10" t="s">
        <v>200</v>
      </c>
      <c r="BVN1" s="10" t="s">
        <v>201</v>
      </c>
      <c r="BVO1" s="10" t="s">
        <v>202</v>
      </c>
      <c r="BVP1" s="10" t="s">
        <v>203</v>
      </c>
      <c r="BVQ1" s="10" t="s">
        <v>204</v>
      </c>
      <c r="BVR1" s="10" t="s">
        <v>205</v>
      </c>
      <c r="BVS1" s="10" t="s">
        <v>206</v>
      </c>
      <c r="BVT1" s="10" t="s">
        <v>207</v>
      </c>
      <c r="BVU1" s="10" t="s">
        <v>208</v>
      </c>
      <c r="BVV1" s="10" t="s">
        <v>209</v>
      </c>
      <c r="BVW1" s="10" t="s">
        <v>210</v>
      </c>
      <c r="BVX1" s="10" t="s">
        <v>211</v>
      </c>
      <c r="BVY1" s="10" t="s">
        <v>212</v>
      </c>
      <c r="BVZ1" s="10" t="s">
        <v>213</v>
      </c>
      <c r="BWA1" s="10" t="s">
        <v>214</v>
      </c>
      <c r="BWB1" s="10" t="s">
        <v>215</v>
      </c>
      <c r="BWC1" s="10" t="s">
        <v>216</v>
      </c>
      <c r="BWD1" s="10" t="s">
        <v>217</v>
      </c>
      <c r="BWE1" s="10" t="s">
        <v>218</v>
      </c>
      <c r="BWF1" s="10" t="s">
        <v>219</v>
      </c>
      <c r="BWG1" s="10" t="s">
        <v>220</v>
      </c>
      <c r="BWH1" s="10" t="s">
        <v>221</v>
      </c>
      <c r="BWI1" s="10" t="s">
        <v>222</v>
      </c>
      <c r="BWJ1" s="10" t="s">
        <v>223</v>
      </c>
      <c r="BWK1" s="10" t="s">
        <v>224</v>
      </c>
      <c r="BWL1" s="10" t="s">
        <v>225</v>
      </c>
      <c r="BWM1" s="10" t="s">
        <v>226</v>
      </c>
      <c r="BWN1" s="10" t="s">
        <v>227</v>
      </c>
      <c r="BWO1" s="10" t="s">
        <v>228</v>
      </c>
      <c r="BWP1" s="10" t="s">
        <v>229</v>
      </c>
      <c r="BWQ1" s="10" t="s">
        <v>230</v>
      </c>
      <c r="BWR1" s="10" t="s">
        <v>231</v>
      </c>
      <c r="BWS1" s="10" t="s">
        <v>232</v>
      </c>
      <c r="BWT1" s="10" t="s">
        <v>233</v>
      </c>
      <c r="BWU1" s="10" t="s">
        <v>234</v>
      </c>
      <c r="BWV1" s="10" t="s">
        <v>235</v>
      </c>
      <c r="BWW1" s="10" t="s">
        <v>236</v>
      </c>
      <c r="BWX1" s="10" t="s">
        <v>237</v>
      </c>
      <c r="BWY1" s="10" t="s">
        <v>238</v>
      </c>
      <c r="BWZ1" s="10" t="s">
        <v>239</v>
      </c>
      <c r="BXA1" s="10" t="s">
        <v>240</v>
      </c>
      <c r="BXB1" s="10" t="s">
        <v>241</v>
      </c>
      <c r="BXC1" s="10" t="s">
        <v>242</v>
      </c>
      <c r="BXD1" s="10" t="s">
        <v>243</v>
      </c>
      <c r="BXE1" s="10" t="s">
        <v>244</v>
      </c>
      <c r="BXF1" s="10" t="s">
        <v>245</v>
      </c>
      <c r="BXG1" s="10" t="s">
        <v>246</v>
      </c>
      <c r="BXH1" s="10" t="s">
        <v>247</v>
      </c>
      <c r="BXI1" s="10" t="s">
        <v>248</v>
      </c>
      <c r="BXJ1" s="10" t="s">
        <v>249</v>
      </c>
      <c r="BXK1" s="10" t="s">
        <v>250</v>
      </c>
      <c r="BXL1" s="10" t="s">
        <v>251</v>
      </c>
      <c r="BXM1" s="10" t="s">
        <v>252</v>
      </c>
      <c r="BXN1" s="10" t="s">
        <v>253</v>
      </c>
      <c r="BXO1" s="10" t="s">
        <v>254</v>
      </c>
      <c r="BXP1" s="10" t="s">
        <v>255</v>
      </c>
      <c r="BXQ1" s="10" t="s">
        <v>256</v>
      </c>
      <c r="BXR1" s="10" t="s">
        <v>257</v>
      </c>
      <c r="BXS1" s="10" t="s">
        <v>258</v>
      </c>
      <c r="BXT1" s="10" t="s">
        <v>259</v>
      </c>
      <c r="BXU1" s="10" t="s">
        <v>260</v>
      </c>
      <c r="BXV1" s="10" t="s">
        <v>261</v>
      </c>
      <c r="BXW1" s="10" t="s">
        <v>262</v>
      </c>
      <c r="BXX1" s="10" t="s">
        <v>263</v>
      </c>
      <c r="BXY1" s="9" t="s">
        <v>100</v>
      </c>
      <c r="BXZ1" s="9" t="s">
        <v>40</v>
      </c>
      <c r="BYA1" s="9" t="s">
        <v>41</v>
      </c>
      <c r="BYB1" s="10" t="s">
        <v>42</v>
      </c>
      <c r="BYC1" s="9" t="s">
        <v>43</v>
      </c>
      <c r="BYD1" s="10" t="s">
        <v>101</v>
      </c>
      <c r="BYE1" s="10" t="s">
        <v>102</v>
      </c>
      <c r="BYF1" s="10" t="s">
        <v>103</v>
      </c>
      <c r="BYG1" s="10" t="s">
        <v>104</v>
      </c>
      <c r="BYH1" s="10" t="s">
        <v>105</v>
      </c>
      <c r="BYI1" s="10" t="s">
        <v>106</v>
      </c>
      <c r="BYJ1" s="10" t="s">
        <v>107</v>
      </c>
      <c r="BYK1" s="10"/>
      <c r="BYL1" s="10"/>
      <c r="BYM1" s="10"/>
      <c r="BYN1" s="10"/>
      <c r="BYO1" s="10"/>
      <c r="BYP1" s="10"/>
      <c r="BYQ1" s="10"/>
      <c r="BYR1" s="10"/>
      <c r="BYS1" s="10"/>
      <c r="BYT1" s="10"/>
      <c r="BYU1" s="10"/>
      <c r="BYV1" s="10"/>
      <c r="BYW1" s="10"/>
      <c r="BYX1" s="10"/>
      <c r="BYY1" s="10"/>
      <c r="BYZ1" s="10"/>
      <c r="BZA1" s="10"/>
      <c r="BZB1" s="10"/>
      <c r="BZC1" s="10"/>
      <c r="BZD1" s="10"/>
      <c r="BZE1" s="10"/>
      <c r="BZF1" s="10"/>
      <c r="BZG1" s="10"/>
      <c r="BZH1" s="10"/>
      <c r="BZI1" s="10"/>
      <c r="BZJ1" s="10"/>
      <c r="BZK1" s="10"/>
      <c r="BZL1" s="10"/>
      <c r="BZM1" s="10"/>
      <c r="BZN1" s="10"/>
      <c r="BZO1" s="10"/>
      <c r="BZP1" s="10"/>
      <c r="BZQ1" s="10"/>
      <c r="BZR1" s="10"/>
      <c r="BZS1" s="10"/>
      <c r="BZT1" s="10"/>
      <c r="BZU1" s="10"/>
      <c r="BZV1" s="10"/>
      <c r="BZW1" s="10"/>
      <c r="BZX1" s="10"/>
      <c r="BZY1" s="10"/>
      <c r="BZZ1" s="10"/>
      <c r="CAA1" s="10"/>
      <c r="CAB1" s="10"/>
      <c r="CAC1" s="10"/>
      <c r="CAD1" s="10"/>
      <c r="CAE1" s="10"/>
      <c r="CAF1" s="10"/>
      <c r="CAG1" s="10"/>
      <c r="CAH1" s="10"/>
      <c r="CAI1" s="10"/>
      <c r="CAJ1" s="10"/>
      <c r="CAK1" s="10"/>
      <c r="CAL1" s="10"/>
      <c r="CAM1" s="10"/>
      <c r="CAN1" s="10"/>
      <c r="CAO1" s="10"/>
      <c r="CAP1" s="10"/>
      <c r="CAQ1" s="10"/>
      <c r="CAR1" s="10"/>
      <c r="CAS1" s="10"/>
      <c r="CAT1" s="10"/>
      <c r="CAU1" s="10"/>
      <c r="CAV1" s="10"/>
      <c r="CAW1" s="10"/>
      <c r="CAX1" s="10"/>
      <c r="CAY1" s="10"/>
      <c r="CAZ1" s="10"/>
      <c r="CBA1" s="10"/>
      <c r="CBB1" s="10"/>
      <c r="CBC1" s="10"/>
      <c r="CBD1" s="10"/>
      <c r="CBE1" s="10"/>
      <c r="CBF1" s="10"/>
      <c r="CBG1" s="10"/>
      <c r="CBH1" s="10"/>
      <c r="CBI1" s="10"/>
      <c r="CBJ1" s="10"/>
      <c r="CBK1" s="10"/>
      <c r="CBL1" s="10"/>
      <c r="CBM1" s="10"/>
      <c r="CBN1" s="10"/>
      <c r="CBO1" s="10"/>
      <c r="CBP1" s="10"/>
      <c r="CBQ1" s="10"/>
      <c r="CBR1" s="10"/>
      <c r="CBS1" s="10"/>
      <c r="CBT1" s="10"/>
      <c r="CBU1" s="9" t="s">
        <v>108</v>
      </c>
      <c r="CBV1" s="9" t="s">
        <v>40</v>
      </c>
      <c r="CBW1" s="9" t="s">
        <v>41</v>
      </c>
      <c r="CBX1" s="10" t="s">
        <v>42</v>
      </c>
      <c r="CBY1" s="9" t="s">
        <v>43</v>
      </c>
      <c r="CBZ1" s="10"/>
      <c r="CCA1" s="10"/>
      <c r="CCB1" s="10"/>
      <c r="CCC1" s="10"/>
      <c r="CFQ1" s="9" t="s">
        <v>109</v>
      </c>
      <c r="CFR1" s="9" t="s">
        <v>40</v>
      </c>
      <c r="CFS1" s="9" t="s">
        <v>41</v>
      </c>
      <c r="CFT1" s="10" t="s">
        <v>42</v>
      </c>
      <c r="CFU1" s="9" t="s">
        <v>43</v>
      </c>
      <c r="CJM1" s="9" t="s">
        <v>110</v>
      </c>
      <c r="CJN1" s="9" t="s">
        <v>40</v>
      </c>
      <c r="CJO1" s="9" t="s">
        <v>41</v>
      </c>
      <c r="CJP1" s="10" t="s">
        <v>42</v>
      </c>
      <c r="CJQ1" s="9" t="s">
        <v>43</v>
      </c>
      <c r="CJR1" s="9" t="s">
        <v>111</v>
      </c>
      <c r="CJS1" s="10" t="s">
        <v>112</v>
      </c>
      <c r="CJT1" s="10" t="s">
        <v>113</v>
      </c>
      <c r="CJU1" s="10" t="s">
        <v>114</v>
      </c>
      <c r="CJV1" s="10" t="s">
        <v>115</v>
      </c>
      <c r="CJW1" s="10" t="s">
        <v>116</v>
      </c>
      <c r="CJX1" s="10" t="s">
        <v>117</v>
      </c>
      <c r="CJY1" s="10" t="s">
        <v>118</v>
      </c>
      <c r="CJZ1" s="10" t="s">
        <v>119</v>
      </c>
      <c r="CKA1" s="10" t="s">
        <v>120</v>
      </c>
      <c r="CKB1" s="10" t="s">
        <v>121</v>
      </c>
      <c r="CKC1" s="10" t="s">
        <v>122</v>
      </c>
      <c r="CKD1" s="10" t="s">
        <v>123</v>
      </c>
      <c r="CKE1" s="10" t="s">
        <v>124</v>
      </c>
      <c r="CKF1" s="10" t="s">
        <v>125</v>
      </c>
      <c r="CKG1" s="10" t="s">
        <v>126</v>
      </c>
      <c r="CKH1" s="10" t="s">
        <v>127</v>
      </c>
      <c r="CKI1" s="10" t="s">
        <v>128</v>
      </c>
      <c r="CKJ1" s="10" t="s">
        <v>129</v>
      </c>
      <c r="CKK1" s="10" t="s">
        <v>130</v>
      </c>
      <c r="CKL1" s="10" t="s">
        <v>131</v>
      </c>
      <c r="CKM1" s="10" t="s">
        <v>132</v>
      </c>
      <c r="CKN1" s="10" t="s">
        <v>133</v>
      </c>
      <c r="CKO1" s="10" t="s">
        <v>134</v>
      </c>
      <c r="CKP1" s="10" t="s">
        <v>135</v>
      </c>
      <c r="CKQ1" s="10" t="s">
        <v>136</v>
      </c>
      <c r="CKR1" s="10" t="s">
        <v>137</v>
      </c>
      <c r="CKS1" s="10" t="s">
        <v>138</v>
      </c>
      <c r="CKT1" s="10" t="s">
        <v>139</v>
      </c>
      <c r="CKU1" s="10" t="s">
        <v>140</v>
      </c>
      <c r="CKV1" s="10" t="s">
        <v>141</v>
      </c>
      <c r="CKW1" s="10" t="s">
        <v>142</v>
      </c>
      <c r="CKX1" s="10" t="s">
        <v>143</v>
      </c>
      <c r="CKY1" s="10" t="s">
        <v>144</v>
      </c>
      <c r="CKZ1" s="10" t="s">
        <v>145</v>
      </c>
      <c r="CLA1" s="10" t="s">
        <v>146</v>
      </c>
      <c r="CLB1" s="10" t="s">
        <v>147</v>
      </c>
      <c r="CLC1" s="10" t="s">
        <v>148</v>
      </c>
      <c r="CLD1" s="10" t="s">
        <v>149</v>
      </c>
      <c r="CLE1" s="10" t="s">
        <v>150</v>
      </c>
      <c r="CLF1" s="10" t="s">
        <v>151</v>
      </c>
      <c r="CLG1" s="10"/>
      <c r="CLH1" s="10"/>
      <c r="CLI1" s="10"/>
      <c r="CLJ1" s="10"/>
      <c r="CLK1" s="10"/>
      <c r="CLL1" s="10"/>
      <c r="CLM1" s="10"/>
      <c r="CNI1" s="9" t="s">
        <v>152</v>
      </c>
      <c r="CNJ1" s="9" t="s">
        <v>40</v>
      </c>
      <c r="CNK1" s="9" t="s">
        <v>41</v>
      </c>
      <c r="CNL1" s="10" t="s">
        <v>42</v>
      </c>
      <c r="CNM1" s="9" t="s">
        <v>43</v>
      </c>
      <c r="CNN1" s="12" t="s">
        <v>153</v>
      </c>
      <c r="CNO1" s="12" t="s">
        <v>154</v>
      </c>
      <c r="CNP1" s="12" t="s">
        <v>155</v>
      </c>
      <c r="CNQ1" s="12" t="s">
        <v>156</v>
      </c>
      <c r="CNR1" s="12" t="s">
        <v>157</v>
      </c>
      <c r="CNS1" s="12" t="s">
        <v>158</v>
      </c>
      <c r="CNT1" s="12" t="s">
        <v>159</v>
      </c>
      <c r="CNU1" s="12" t="s">
        <v>160</v>
      </c>
      <c r="CNV1" s="14" t="s">
        <v>161</v>
      </c>
      <c r="CNW1" s="10" t="s">
        <v>162</v>
      </c>
      <c r="CNX1" s="10" t="s">
        <v>163</v>
      </c>
      <c r="CNY1" s="10" t="s">
        <v>164</v>
      </c>
      <c r="CNZ1" s="10" t="s">
        <v>165</v>
      </c>
      <c r="COA1" s="10" t="s">
        <v>165</v>
      </c>
      <c r="COB1" s="10" t="s">
        <v>165</v>
      </c>
    </row>
    <row r="2" spans="1:2420" x14ac:dyDescent="0.3">
      <c r="A2" s="18" t="s">
        <v>166</v>
      </c>
      <c r="B2" s="18" t="e">
        <f>'DASHBOARD '!$AL$4</f>
        <v>#REF!</v>
      </c>
      <c r="C2" s="18" t="e">
        <f>100*B2-F2</f>
        <v>#REF!</v>
      </c>
      <c r="D2" s="18">
        <f>H2/50</f>
        <v>0.6</v>
      </c>
      <c r="E2" s="18" t="e">
        <f>1.5*H2-C2-D2</f>
        <v>#REF!</v>
      </c>
      <c r="F2" s="18">
        <v>0</v>
      </c>
      <c r="G2" s="18">
        <v>30</v>
      </c>
      <c r="H2" s="18">
        <f>G2-F2</f>
        <v>30</v>
      </c>
      <c r="I2" s="18" t="s">
        <v>169</v>
      </c>
      <c r="J2" s="18">
        <v>1</v>
      </c>
      <c r="K2" s="18">
        <v>9</v>
      </c>
      <c r="L2" s="18">
        <v>15</v>
      </c>
      <c r="M2" s="18">
        <v>20</v>
      </c>
      <c r="N2" s="18">
        <v>10</v>
      </c>
      <c r="O2" s="18">
        <v>255</v>
      </c>
      <c r="P2" s="18">
        <v>65535</v>
      </c>
      <c r="Q2" s="18">
        <v>49152</v>
      </c>
      <c r="R2" s="18" t="s">
        <v>168</v>
      </c>
      <c r="S2" s="18" t="str">
        <f ca="1">SUBSTITUTE(MID(_xlfn.FORMULATEXT(V2),2,FIND("!",_xlfn.FORMULATEXT(V2),1)-2), "'","")</f>
        <v xml:space="preserve">DASHBOARD </v>
      </c>
      <c r="T2" s="18">
        <f ca="1">_xlfn.SHEET( 'DASHBOARD '!$NTS$1000003)</f>
        <v>3</v>
      </c>
      <c r="V2" s="18">
        <f>'DASHBOARD '!$NTS$1000003</f>
        <v>0</v>
      </c>
      <c r="W2" s="18">
        <v>128</v>
      </c>
      <c r="X2" s="18" t="s">
        <v>167</v>
      </c>
      <c r="Y2" s="18">
        <v>13</v>
      </c>
      <c r="Z2" s="20">
        <f>'DASHBOARD '!$AL$3</f>
        <v>-1.9969059206497566E-2</v>
      </c>
      <c r="AA2" s="19">
        <f>100*Z2-AD2</f>
        <v>-1.9969059206497566</v>
      </c>
      <c r="AB2" s="18">
        <f>AF2/50</f>
        <v>0.6</v>
      </c>
      <c r="AC2" s="18">
        <f>1.5*AF2-AA2-AB2</f>
        <v>46.396905920649758</v>
      </c>
      <c r="AD2" s="18">
        <v>0</v>
      </c>
      <c r="AE2" s="18">
        <v>30</v>
      </c>
      <c r="AF2" s="18">
        <f>AE2-AD2</f>
        <v>30</v>
      </c>
      <c r="AG2" s="21" t="e">
        <f>B2-Z2</f>
        <v>#REF!</v>
      </c>
      <c r="AH2" s="18">
        <v>0</v>
      </c>
      <c r="BB2" s="18">
        <v>3</v>
      </c>
      <c r="BC2" s="18">
        <v>430</v>
      </c>
      <c r="BD2" s="18" t="b">
        <v>0</v>
      </c>
      <c r="BE2" s="18" t="e">
        <f>E2</f>
        <v>#REF!</v>
      </c>
      <c r="BF2" s="18">
        <f>D2</f>
        <v>0.6</v>
      </c>
      <c r="BG2" s="18" t="e">
        <f>C2</f>
        <v>#REF!</v>
      </c>
      <c r="BH2" s="18">
        <f>AC2</f>
        <v>46.396905920649758</v>
      </c>
      <c r="BI2" s="18">
        <f>AB2</f>
        <v>0.6</v>
      </c>
      <c r="BJ2" s="19">
        <f>AA2</f>
        <v>-1.9969059206497566</v>
      </c>
      <c r="BK2" s="18">
        <v>0</v>
      </c>
      <c r="BL2" s="18">
        <v>0</v>
      </c>
      <c r="BM2" s="18">
        <v>0</v>
      </c>
      <c r="DB2" s="35"/>
      <c r="DC2" s="35"/>
      <c r="DD2" s="35"/>
      <c r="DG2" s="35"/>
      <c r="DH2" s="35"/>
      <c r="DI2" s="35"/>
      <c r="DL2" s="35"/>
      <c r="DM2" s="35"/>
      <c r="DN2" s="35"/>
      <c r="DQ2" s="35"/>
      <c r="DR2" s="35"/>
      <c r="DS2" s="35"/>
      <c r="DV2" s="35"/>
      <c r="DW2" s="35"/>
      <c r="DX2" s="35"/>
      <c r="EA2" s="35"/>
      <c r="EB2" s="35"/>
      <c r="EC2" s="35"/>
      <c r="EF2" s="35"/>
      <c r="EG2" s="35"/>
      <c r="EH2" s="35"/>
      <c r="EK2" s="35"/>
      <c r="EL2" s="35"/>
      <c r="EM2" s="35"/>
      <c r="EP2" s="35"/>
      <c r="EQ2" s="35"/>
      <c r="ER2" s="35"/>
      <c r="EU2" s="35"/>
      <c r="EV2" s="35"/>
      <c r="EW2" s="35"/>
      <c r="EZ2" s="35"/>
      <c r="FA2" s="35"/>
      <c r="FB2" s="35"/>
      <c r="FE2" s="35"/>
      <c r="FF2" s="35"/>
      <c r="FG2" s="35"/>
      <c r="BIO2" s="18" t="s">
        <v>280</v>
      </c>
      <c r="BIP2" s="18">
        <f>55</f>
        <v>55</v>
      </c>
      <c r="BIQ2" s="18">
        <v>30</v>
      </c>
      <c r="BIR2" s="18">
        <v>70</v>
      </c>
      <c r="BIS2" s="18">
        <f>VALUE(BIP2)</f>
        <v>55</v>
      </c>
      <c r="BIT2" s="18">
        <f>IF(BIS2&gt;=BIR2,1,0)</f>
        <v>0</v>
      </c>
      <c r="BIU2" s="18">
        <f>IF(AND(BIS2&gt;BIQ2,BIS2&lt;BIR2),1,0)</f>
        <v>1</v>
      </c>
      <c r="BIV2" s="18">
        <f>IF(BIS2&lt;=BIQ2,1,0)</f>
        <v>0</v>
      </c>
      <c r="BIW2" s="18" t="s">
        <v>278</v>
      </c>
      <c r="BIX2" s="18">
        <v>0</v>
      </c>
      <c r="BIY2" s="18">
        <v>2500134</v>
      </c>
      <c r="BIZ2" s="18">
        <v>8421504</v>
      </c>
      <c r="BJA2" s="18">
        <v>0</v>
      </c>
      <c r="BJB2" s="18">
        <v>16777215</v>
      </c>
      <c r="BJC2" s="18">
        <v>255</v>
      </c>
      <c r="BJD2" s="18">
        <v>65535</v>
      </c>
      <c r="BJE2" s="18">
        <v>49152</v>
      </c>
      <c r="BJF2" s="18" t="s">
        <v>281</v>
      </c>
      <c r="BJG2" s="18" t="str">
        <f ca="1">SUBSTITUTE(MID(_xlfn.FORMULATEXT(BJJ2),2,FIND("!",_xlfn.FORMULATEXT(BJJ2),1)-2), "'","")</f>
        <v xml:space="preserve">DASHBOARD </v>
      </c>
      <c r="BJH2" s="18">
        <f ca="1">_xlfn.SHEET( 'DASHBOARD '!$NTQ$1000001)</f>
        <v>3</v>
      </c>
      <c r="BJJ2" s="18">
        <f>'DASHBOARD '!$NTQ$1000001</f>
        <v>0</v>
      </c>
      <c r="BJK2" s="18">
        <v>0</v>
      </c>
      <c r="BJL2" s="18">
        <v>100</v>
      </c>
      <c r="BUC2" s="18" t="s">
        <v>264</v>
      </c>
      <c r="BUD2" s="18" t="str">
        <f ca="1">SUBSTITUTE(MID(_xlfn.FORMULATEXT(BUG2),2,FIND("!",_xlfn.FORMULATEXT(BUG2),1)-2), "'","")</f>
        <v>#REF</v>
      </c>
      <c r="BUE2" s="18" t="e">
        <f ca="1" xml:space="preserve"> _xlfn.SHEET(#REF!)</f>
        <v>#REF!</v>
      </c>
      <c r="BUG2" s="18" t="e">
        <f>#REF!</f>
        <v>#REF!</v>
      </c>
      <c r="BXY2" s="18" t="s">
        <v>271</v>
      </c>
      <c r="BXZ2" s="18" t="str">
        <f ca="1">SUBSTITUTE(MID(_xlfn.FORMULATEXT(BYC2),2,FIND("!",_xlfn.FORMULATEXT(BYC2),1)-2), "'","")</f>
        <v>Statement</v>
      </c>
      <c r="BYA2" s="18">
        <f ca="1">_xlfn.SHEET( Statement!$NTP$1000000)</f>
        <v>4</v>
      </c>
      <c r="BYC2" s="18">
        <f>Statement!$NTP$1000000</f>
        <v>0</v>
      </c>
      <c r="BYD2" s="18" t="str">
        <f>Statement!$C$4</f>
        <v>Total Income</v>
      </c>
      <c r="BYE2" s="487">
        <f>Statement!$D$4</f>
        <v>3878375</v>
      </c>
      <c r="BYF2" s="179">
        <f>BYE2</f>
        <v>3878375</v>
      </c>
      <c r="BYG2" s="179">
        <f>BYE2</f>
        <v>3878375</v>
      </c>
      <c r="CJM2" t="s">
        <v>170</v>
      </c>
      <c r="CJN2" t="str">
        <f ca="1">SUBSTITUTE(MID(_xlfn.FORMULATEXT(CJQ2),2,FIND("!",_xlfn.FORMULATEXT(CJQ2),1)-2), "'","")</f>
        <v xml:space="preserve">DASHBOARD </v>
      </c>
      <c r="CJO2">
        <f ca="1">_xlfn.SHEET( 'DASHBOARD '!$NTS$1000003)</f>
        <v>3</v>
      </c>
      <c r="CJQ2">
        <f>'DASHBOARD '!$NTS$1000003</f>
        <v>0</v>
      </c>
      <c r="CJR2" t="e">
        <f>MAX( 'DASHBOARD '!$AL$3:$AL$4)</f>
        <v>#REF!</v>
      </c>
      <c r="CJS2">
        <f>'DASHBOARD '!$AL$3</f>
        <v>-1.9969059206497566E-2</v>
      </c>
      <c r="CJU2" t="e">
        <f>0.75*CJS2/CJR2</f>
        <v>#REF!</v>
      </c>
      <c r="CJV2" t="e">
        <f>1-CJU2</f>
        <v>#REF!</v>
      </c>
      <c r="CJW2" t="e">
        <f>'DASHBOARD '!$AL$4</f>
        <v>#REF!</v>
      </c>
      <c r="CJY2" t="e">
        <f>0.75*CJW2/CJR2</f>
        <v>#REF!</v>
      </c>
      <c r="CJZ2" t="e">
        <f>1-CJY2</f>
        <v>#REF!</v>
      </c>
    </row>
    <row r="3" spans="1:2420" x14ac:dyDescent="0.3">
      <c r="A3" s="18" t="s">
        <v>277</v>
      </c>
      <c r="B3" s="18">
        <f>55</f>
        <v>55</v>
      </c>
      <c r="C3" s="18">
        <f>B3-F3</f>
        <v>55</v>
      </c>
      <c r="D3" s="18">
        <f>H3/50</f>
        <v>2</v>
      </c>
      <c r="E3" s="18">
        <f>1.5*H3-C3-D3</f>
        <v>93</v>
      </c>
      <c r="F3" s="18">
        <v>0</v>
      </c>
      <c r="G3" s="18">
        <v>100</v>
      </c>
      <c r="H3" s="18">
        <f>G3-F3</f>
        <v>100</v>
      </c>
      <c r="I3" s="18" t="s">
        <v>278</v>
      </c>
      <c r="J3" s="18">
        <v>0</v>
      </c>
      <c r="K3" s="18">
        <v>9</v>
      </c>
      <c r="L3" s="18">
        <v>15</v>
      </c>
      <c r="M3" s="18">
        <v>70</v>
      </c>
      <c r="N3" s="18">
        <v>30</v>
      </c>
      <c r="O3" s="18">
        <v>255</v>
      </c>
      <c r="P3" s="18">
        <v>65535</v>
      </c>
      <c r="Q3" s="18">
        <v>49152</v>
      </c>
      <c r="R3" s="18" t="s">
        <v>279</v>
      </c>
      <c r="S3" s="18" t="str">
        <f ca="1">SUBSTITUTE(MID(_xlfn.FORMULATEXT(V3),2,FIND("!",_xlfn.FORMULATEXT(V3),1)-2), "'","")</f>
        <v xml:space="preserve">DASHBOARD </v>
      </c>
      <c r="T3" s="18">
        <f ca="1">_xlfn.SHEET( 'DASHBOARD '!$NTQ$1000001)</f>
        <v>3</v>
      </c>
      <c r="V3" s="18">
        <f>'DASHBOARD '!$NTQ$1000001</f>
        <v>0</v>
      </c>
      <c r="W3" s="18">
        <v>0</v>
      </c>
      <c r="X3" s="18" t="s">
        <v>45</v>
      </c>
      <c r="Y3" s="18">
        <v>13</v>
      </c>
      <c r="BB3" s="18">
        <v>3</v>
      </c>
      <c r="BC3" s="18">
        <v>430</v>
      </c>
      <c r="BD3" s="18" t="b">
        <v>0</v>
      </c>
      <c r="BE3" s="18">
        <f>E3</f>
        <v>93</v>
      </c>
      <c r="BF3" s="18">
        <f>D3</f>
        <v>2</v>
      </c>
      <c r="BG3" s="18">
        <f>C3</f>
        <v>55</v>
      </c>
      <c r="BK3" s="18">
        <v>0</v>
      </c>
      <c r="BL3" s="18">
        <v>0</v>
      </c>
      <c r="BM3" s="18">
        <v>0</v>
      </c>
      <c r="CW3" s="18" t="s">
        <v>276</v>
      </c>
      <c r="CX3" s="18" t="str">
        <f ca="1">SUBSTITUTE(MID(_xlfn.FORMULATEXT(DA3),2,FIND("!",_xlfn.FORMULATEXT(DA3),1)-2), "'","")</f>
        <v>calc</v>
      </c>
      <c r="CY3" s="18">
        <f ca="1">_xlfn.SHEET( calc!$NTP$1000000)</f>
        <v>6</v>
      </c>
      <c r="DA3" s="18">
        <f>calc!$NTP$1000000</f>
        <v>0</v>
      </c>
      <c r="DB3" s="18">
        <f>calc!$T$5</f>
        <v>3878375</v>
      </c>
      <c r="DC3" s="18">
        <f>calc!$T$6</f>
        <v>3880822.5</v>
      </c>
      <c r="DD3" s="18">
        <f>DC3-DB3</f>
        <v>2447.5</v>
      </c>
      <c r="DE3" s="18" t="str">
        <f>IF(DD3&lt;0,DD3,"")</f>
        <v/>
      </c>
      <c r="DF3" s="18">
        <f>IF(DD3&gt;0,DD3,"")</f>
        <v>2447.5</v>
      </c>
      <c r="DG3" s="18">
        <f>calc!$U$5</f>
        <v>4213766.25</v>
      </c>
      <c r="DH3" s="18">
        <f>calc!$U$6</f>
        <v>3836197.5</v>
      </c>
      <c r="DI3" s="18">
        <f>DH3-DG3</f>
        <v>-377568.75</v>
      </c>
      <c r="DJ3" s="18">
        <f>IF(DI3&lt;0,DI3,"")</f>
        <v>-377568.75</v>
      </c>
      <c r="DK3" s="18" t="str">
        <f>IF(DI3&gt;0,DI3,"")</f>
        <v/>
      </c>
      <c r="DL3" s="18">
        <f>calc!$V$5</f>
        <v>4436387.0750000002</v>
      </c>
      <c r="DM3" s="18">
        <f>calc!$V$6</f>
        <v>3695136.375</v>
      </c>
      <c r="DN3" s="18">
        <f>DM3-DL3</f>
        <v>-741250.70000000019</v>
      </c>
      <c r="DO3" s="18">
        <f>IF(DN3&lt;0,DN3,"")</f>
        <v>-741250.70000000019</v>
      </c>
      <c r="DP3" s="18" t="str">
        <f>IF(DN3&gt;0,DN3,"")</f>
        <v/>
      </c>
      <c r="DQ3" s="18">
        <f>calc!$W$5</f>
        <v>5049956.3133333325</v>
      </c>
      <c r="DR3" s="18">
        <f>calc!$W$6</f>
        <v>4272841.6500000004</v>
      </c>
      <c r="DS3" s="18">
        <f>DR3-DQ3</f>
        <v>-777114.66333333217</v>
      </c>
      <c r="DT3" s="18">
        <f>IF(DS3&lt;0,DS3,"")</f>
        <v>-777114.66333333217</v>
      </c>
      <c r="DU3" s="18" t="str">
        <f>IF(DS3&gt;0,DS3,"")</f>
        <v/>
      </c>
      <c r="DV3" s="18">
        <f>calc!$X$5</f>
        <v>5450505.0679166652</v>
      </c>
      <c r="DW3" s="18">
        <f>calc!$X$6</f>
        <v>4209841.6500000004</v>
      </c>
      <c r="DX3" s="18">
        <f>DW3-DV3</f>
        <v>-1240663.4179166649</v>
      </c>
      <c r="DY3" s="18">
        <f>IF(DX3&lt;0,DX3,"")</f>
        <v>-1240663.4179166649</v>
      </c>
      <c r="DZ3" s="18" t="str">
        <f>IF(DX3&gt;0,DX3,"")</f>
        <v/>
      </c>
      <c r="EA3" s="18">
        <f>calc!$Y$5</f>
        <v>0</v>
      </c>
      <c r="EB3" s="18">
        <f>calc!$Y$6</f>
        <v>0</v>
      </c>
      <c r="EC3" s="18">
        <f>EB3-EA3</f>
        <v>0</v>
      </c>
      <c r="ED3" s="18" t="str">
        <f>IF(EC3&lt;0,EC3,"")</f>
        <v/>
      </c>
      <c r="EE3" s="18" t="str">
        <f>IF(EC3&gt;0,EC3,"")</f>
        <v/>
      </c>
      <c r="EF3" s="18">
        <f>calc!$Z$5</f>
        <v>0</v>
      </c>
      <c r="EG3" s="18">
        <f>calc!$Z$6</f>
        <v>0</v>
      </c>
      <c r="EH3" s="18">
        <f>EG3-EF3</f>
        <v>0</v>
      </c>
      <c r="EI3" s="18" t="str">
        <f>IF(EH3&lt;0,EH3,"")</f>
        <v/>
      </c>
      <c r="EJ3" s="18" t="str">
        <f>IF(EH3&gt;0,EH3,"")</f>
        <v/>
      </c>
      <c r="EK3" s="18">
        <f>calc!$AA$5</f>
        <v>0</v>
      </c>
      <c r="EL3" s="18">
        <f>calc!$AA$6</f>
        <v>0</v>
      </c>
      <c r="EM3" s="18">
        <f>EL3-EK3</f>
        <v>0</v>
      </c>
      <c r="EN3" s="18" t="str">
        <f>IF(EM3&lt;0,EM3,"")</f>
        <v/>
      </c>
      <c r="EO3" s="18" t="str">
        <f>IF(EM3&gt;0,EM3,"")</f>
        <v/>
      </c>
      <c r="EP3" s="18">
        <f>calc!$AB$5</f>
        <v>0</v>
      </c>
      <c r="EQ3" s="18">
        <f>calc!$AB$6</f>
        <v>0</v>
      </c>
      <c r="ER3" s="18">
        <f>EQ3-EP3</f>
        <v>0</v>
      </c>
      <c r="ES3" s="18" t="str">
        <f>IF(ER3&lt;0,ER3,"")</f>
        <v/>
      </c>
      <c r="ET3" s="18" t="str">
        <f>IF(ER3&gt;0,ER3,"")</f>
        <v/>
      </c>
      <c r="EU3" s="18">
        <f>calc!$AC$5</f>
        <v>0</v>
      </c>
      <c r="EV3" s="18">
        <f>calc!$AC$6</f>
        <v>0</v>
      </c>
      <c r="EW3" s="18">
        <f>EV3-EU3</f>
        <v>0</v>
      </c>
      <c r="EX3" s="18" t="str">
        <f>IF(EW3&lt;0,EW3,"")</f>
        <v/>
      </c>
      <c r="EY3" s="18" t="str">
        <f>IF(EW3&gt;0,EW3,"")</f>
        <v/>
      </c>
      <c r="EZ3" s="18">
        <f>calc!$AD$5</f>
        <v>0</v>
      </c>
      <c r="FA3" s="18">
        <f>calc!$AD$6</f>
        <v>0</v>
      </c>
      <c r="FB3" s="18">
        <f>FA3-EZ3</f>
        <v>0</v>
      </c>
      <c r="FC3" s="18" t="str">
        <f>IF(FB3&lt;0,FB3,"")</f>
        <v/>
      </c>
      <c r="FD3" s="18" t="str">
        <f>IF(FB3&gt;0,FB3,"")</f>
        <v/>
      </c>
      <c r="FE3" s="18">
        <f>calc!$AE$5</f>
        <v>0</v>
      </c>
      <c r="FF3" s="18">
        <f>calc!$AE$6</f>
        <v>0</v>
      </c>
      <c r="FG3" s="18">
        <f>FF3-FE3</f>
        <v>0</v>
      </c>
      <c r="FH3" s="18" t="str">
        <f>IF(FG3&lt;0,FG3,"")</f>
        <v/>
      </c>
      <c r="FI3" s="18" t="str">
        <f>IF(FG3&gt;0,FG3,"")</f>
        <v/>
      </c>
      <c r="BUC3" s="18" t="s">
        <v>264</v>
      </c>
      <c r="BUD3" s="18" t="str">
        <f t="shared" ref="BUD3:BUD31" ca="1" si="0">SUBSTITUTE(MID(_xlfn.FORMULATEXT(BUG3),2,FIND("!",_xlfn.FORMULATEXT(BUG3),1)-2), "'","")</f>
        <v>#REF</v>
      </c>
      <c r="BUE3" s="18" t="e">
        <f ca="1" xml:space="preserve"> _xlfn.SHEET(#REF!)</f>
        <v>#REF!</v>
      </c>
      <c r="BUG3" s="18" t="e">
        <f>#REF!</f>
        <v>#REF!</v>
      </c>
      <c r="BUH3" s="35" t="e">
        <f>data!#REF!</f>
        <v>#REF!</v>
      </c>
      <c r="BUI3" s="35" t="e">
        <f>data!#REF!</f>
        <v>#REF!</v>
      </c>
      <c r="BUJ3" s="35">
        <f>data!G$7</f>
        <v>4436387.0750000002</v>
      </c>
      <c r="BUK3" s="35">
        <f>data!H$7</f>
        <v>5049956.3133333325</v>
      </c>
      <c r="BUL3" s="35">
        <f>data!I$7</f>
        <v>5450505.0679166652</v>
      </c>
      <c r="BUM3" s="35" t="e">
        <f>data!#REF!</f>
        <v>#REF!</v>
      </c>
      <c r="BUN3" s="35" t="e">
        <f>data!#REF!</f>
        <v>#REF!</v>
      </c>
      <c r="BUO3" s="35" t="e">
        <f>data!#REF!</f>
        <v>#REF!</v>
      </c>
      <c r="BUP3" s="35" t="e">
        <f>data!#REF!</f>
        <v>#REF!</v>
      </c>
      <c r="BUQ3" s="35" t="e">
        <f>data!#REF!</f>
        <v>#REF!</v>
      </c>
      <c r="BUR3" s="35" t="e">
        <f>data!#REF!</f>
        <v>#REF!</v>
      </c>
      <c r="BUS3" s="35" t="e">
        <f>data!#REF!</f>
        <v>#REF!</v>
      </c>
      <c r="BXY3" s="18" t="s">
        <v>271</v>
      </c>
      <c r="BXZ3" s="18" t="str">
        <f t="shared" ref="BXZ3:BXZ8" ca="1" si="1">SUBSTITUTE(MID(_xlfn.FORMULATEXT(BYC3),2,FIND("!",_xlfn.FORMULATEXT(BYC3),1)-2), "'","")</f>
        <v>Statement</v>
      </c>
      <c r="BYA3" s="18">
        <f ca="1">_xlfn.SHEET( Statement!$NTP$1000000)</f>
        <v>4</v>
      </c>
      <c r="BYC3" s="18">
        <f>Statement!$NTP$1000000</f>
        <v>0</v>
      </c>
      <c r="BYD3" s="18" t="str">
        <f>Statement!$C$5</f>
        <v>Cost of Goods Sold</v>
      </c>
      <c r="BYE3" s="46">
        <f>Statement!$D$5</f>
        <v>-2401750</v>
      </c>
      <c r="BYF3" s="179">
        <f>BYF2+BYE3</f>
        <v>1476625</v>
      </c>
      <c r="BYG3" s="179"/>
      <c r="BYH3" s="179">
        <f>BYF2</f>
        <v>3878375</v>
      </c>
      <c r="BYI3" s="179">
        <f>BYF3</f>
        <v>1476625</v>
      </c>
      <c r="BYJ3" s="179">
        <f>MAX(BYH3:BYI3)</f>
        <v>3878375</v>
      </c>
      <c r="CJM3" t="s">
        <v>170</v>
      </c>
      <c r="CJN3" t="str">
        <f ca="1">SUBSTITUTE(MID(_xlfn.FORMULATEXT(CJQ3),2,FIND("!",_xlfn.FORMULATEXT(CJQ3),1)-2), "'","")</f>
        <v>calc</v>
      </c>
      <c r="CJO3">
        <f ca="1">_xlfn.SHEET( calc!$NTO$999995)</f>
        <v>6</v>
      </c>
      <c r="CJQ3">
        <f>calc!$NTO$999995</f>
        <v>0</v>
      </c>
      <c r="CJR3">
        <f>MAX( calc!$G$19:$G$20)</f>
        <v>0.14000000000000001</v>
      </c>
      <c r="CJS3">
        <f>calc!$G$19</f>
        <v>-1.9969059206497566E-2</v>
      </c>
      <c r="CJU3">
        <f>0.75*CJS3/CJR3</f>
        <v>-0.10697710289195124</v>
      </c>
      <c r="CJV3">
        <f>1-CJU3</f>
        <v>1.1069771028919513</v>
      </c>
      <c r="CJW3">
        <f>calc!$G$20</f>
        <v>0.14000000000000001</v>
      </c>
      <c r="CJY3">
        <f>0.75*CJW3/CJR3</f>
        <v>0.75</v>
      </c>
      <c r="CJZ3">
        <f>1-CJY3</f>
        <v>0.25</v>
      </c>
    </row>
    <row r="4" spans="1:2420" x14ac:dyDescent="0.3">
      <c r="BUC4" s="18" t="s">
        <v>264</v>
      </c>
      <c r="BUD4" s="18" t="str">
        <f t="shared" ca="1" si="0"/>
        <v>#REF</v>
      </c>
      <c r="BUE4" s="18" t="e">
        <f ca="1" xml:space="preserve"> _xlfn.SHEET(#REF!)</f>
        <v>#REF!</v>
      </c>
      <c r="BUG4" s="18" t="e">
        <f>#REF!</f>
        <v>#REF!</v>
      </c>
      <c r="BUH4" s="35" t="e">
        <f>data!#REF!</f>
        <v>#REF!</v>
      </c>
      <c r="BUI4" s="35" t="e">
        <f>data!#REF!</f>
        <v>#REF!</v>
      </c>
      <c r="BUJ4" s="35">
        <f>data!G$15</f>
        <v>3695136.375</v>
      </c>
      <c r="BUK4" s="35">
        <f>data!H$15</f>
        <v>4272841.6500000004</v>
      </c>
      <c r="BUL4" s="35">
        <f>data!I$15</f>
        <v>4209841.6500000004</v>
      </c>
      <c r="BUM4" s="35" t="e">
        <f>data!#REF!</f>
        <v>#REF!</v>
      </c>
      <c r="BUN4" s="35" t="e">
        <f>data!#REF!</f>
        <v>#REF!</v>
      </c>
      <c r="BUO4" s="35" t="e">
        <f>data!#REF!</f>
        <v>#REF!</v>
      </c>
      <c r="BUP4" s="35" t="e">
        <f>data!#REF!</f>
        <v>#REF!</v>
      </c>
      <c r="BUQ4" s="35" t="e">
        <f>data!#REF!</f>
        <v>#REF!</v>
      </c>
      <c r="BUR4" s="35" t="e">
        <f>data!#REF!</f>
        <v>#REF!</v>
      </c>
      <c r="BUS4" s="35" t="e">
        <f>data!#REF!</f>
        <v>#REF!</v>
      </c>
      <c r="BXY4" s="18" t="s">
        <v>271</v>
      </c>
      <c r="BXZ4" s="18" t="str">
        <f t="shared" ca="1" si="1"/>
        <v>Statement</v>
      </c>
      <c r="BYA4" s="18">
        <f ca="1">_xlfn.SHEET( Statement!$NTP$1000000)</f>
        <v>4</v>
      </c>
      <c r="BYC4" s="18">
        <f>Statement!$NTP$1000000</f>
        <v>0</v>
      </c>
      <c r="BYD4" s="18" t="str">
        <f>Statement!$C$6</f>
        <v xml:space="preserve">Gross Profit </v>
      </c>
      <c r="BYE4" s="46">
        <f>Statement!$D$6</f>
        <v>1476625</v>
      </c>
      <c r="BYF4" s="179">
        <f>BYE4</f>
        <v>1476625</v>
      </c>
      <c r="BYG4" s="179"/>
      <c r="BYH4" s="179">
        <f>BYF3</f>
        <v>1476625</v>
      </c>
      <c r="BYI4" s="179">
        <f>BYF4</f>
        <v>1476625</v>
      </c>
      <c r="BYJ4" s="179">
        <f>MAX(BYH4:BYI4)</f>
        <v>1476625</v>
      </c>
    </row>
    <row r="5" spans="1:2420" x14ac:dyDescent="0.3">
      <c r="BUC5" s="18" t="s">
        <v>264</v>
      </c>
      <c r="BUD5" s="18" t="str">
        <f t="shared" ca="1" si="0"/>
        <v>#REF</v>
      </c>
      <c r="BUE5" s="18" t="e">
        <f ca="1" xml:space="preserve"> _xlfn.SHEET(#REF!)</f>
        <v>#REF!</v>
      </c>
      <c r="BUG5" s="18" t="e">
        <f>#REF!</f>
        <v>#REF!</v>
      </c>
      <c r="BUH5" s="22" t="s">
        <v>265</v>
      </c>
      <c r="BXY5" s="18" t="s">
        <v>271</v>
      </c>
      <c r="BXZ5" s="18" t="str">
        <f t="shared" ca="1" si="1"/>
        <v>Statement</v>
      </c>
      <c r="BYA5" s="18">
        <f ca="1">_xlfn.SHEET( Statement!$NTP$1000000)</f>
        <v>4</v>
      </c>
      <c r="BYC5" s="18">
        <f>Statement!$NTP$1000000</f>
        <v>0</v>
      </c>
      <c r="BYD5" s="18" t="str">
        <f>Statement!$C$7</f>
        <v xml:space="preserve">Total Operating Expenses  </v>
      </c>
      <c r="BYE5" s="46">
        <f>Statement!$D$7</f>
        <v>-1554072.5</v>
      </c>
      <c r="BYF5" s="179">
        <f>BYF4+BYE5</f>
        <v>-77447.5</v>
      </c>
      <c r="BYG5" s="179"/>
      <c r="BYH5" s="179">
        <f>BYF4</f>
        <v>1476625</v>
      </c>
      <c r="BYI5" s="179">
        <f>BYF5</f>
        <v>-77447.5</v>
      </c>
      <c r="BYJ5" s="179">
        <f>MAX(BYH5:BYI5)</f>
        <v>1476625</v>
      </c>
    </row>
    <row r="6" spans="1:2420" x14ac:dyDescent="0.3">
      <c r="BUC6" s="18" t="s">
        <v>264</v>
      </c>
      <c r="BUD6" s="18" t="str">
        <f t="shared" ca="1" si="0"/>
        <v>#REF</v>
      </c>
      <c r="BUE6" s="18" t="e">
        <f ca="1" xml:space="preserve"> _xlfn.SHEET(#REF!)</f>
        <v>#REF!</v>
      </c>
      <c r="BUG6" s="18" t="e">
        <f>#REF!</f>
        <v>#REF!</v>
      </c>
      <c r="BUH6" s="23" t="s">
        <v>83</v>
      </c>
      <c r="BUI6" s="23" t="s">
        <v>83</v>
      </c>
      <c r="BUJ6" s="23" t="s">
        <v>83</v>
      </c>
      <c r="BUK6" s="23" t="s">
        <v>83</v>
      </c>
      <c r="BUL6" s="23" t="s">
        <v>83</v>
      </c>
      <c r="BUM6" s="23" t="s">
        <v>83</v>
      </c>
      <c r="BUN6" s="23" t="s">
        <v>83</v>
      </c>
      <c r="BUO6" s="23" t="s">
        <v>83</v>
      </c>
      <c r="BUP6" s="23" t="s">
        <v>83</v>
      </c>
      <c r="BUQ6" s="23" t="s">
        <v>83</v>
      </c>
      <c r="BUR6" s="23" t="s">
        <v>83</v>
      </c>
      <c r="BUS6" s="23" t="s">
        <v>83</v>
      </c>
      <c r="BXY6" s="18" t="s">
        <v>271</v>
      </c>
      <c r="BXZ6" s="18" t="str">
        <f t="shared" ca="1" si="1"/>
        <v>Statement</v>
      </c>
      <c r="BYA6" s="18">
        <f ca="1">_xlfn.SHEET( Statement!$NTP$1000000)</f>
        <v>4</v>
      </c>
      <c r="BYC6" s="18">
        <f>Statement!$NTP$1000000</f>
        <v>0</v>
      </c>
      <c r="BYD6" s="18" t="str">
        <f>Statement!$C$8</f>
        <v>Profit Before Tax (PBT)</v>
      </c>
      <c r="BYE6" s="46">
        <f>Statement!$D$8</f>
        <v>-77447.5</v>
      </c>
      <c r="BYF6" s="179">
        <f>BYE6</f>
        <v>-77447.5</v>
      </c>
      <c r="BYG6" s="179"/>
      <c r="BYH6" s="179">
        <f>BYF5</f>
        <v>-77447.5</v>
      </c>
      <c r="BYI6" s="179">
        <f>BYF6</f>
        <v>-77447.5</v>
      </c>
      <c r="BYJ6" s="179">
        <f>MAX(BYH6:BYI6)</f>
        <v>-77447.5</v>
      </c>
    </row>
    <row r="7" spans="1:2420" x14ac:dyDescent="0.3">
      <c r="BUC7" s="18" t="s">
        <v>264</v>
      </c>
      <c r="BUD7" s="18" t="str">
        <f t="shared" ca="1" si="0"/>
        <v>#REF</v>
      </c>
      <c r="BUE7" s="18" t="e">
        <f ca="1" xml:space="preserve"> _xlfn.SHEET(#REF!)</f>
        <v>#REF!</v>
      </c>
      <c r="BUG7" s="18" t="e">
        <f>#REF!</f>
        <v>#REF!</v>
      </c>
      <c r="BUH7" s="23" t="str">
        <f>CONCATENATE(BUH6," ",BUH8)</f>
        <v>Green 1</v>
      </c>
      <c r="BUI7" s="23" t="str">
        <f t="shared" ref="BUI7:BUS7" si="2">CONCATENATE(BUI6," ",BUI8)</f>
        <v>Green 2</v>
      </c>
      <c r="BUJ7" s="23" t="str">
        <f t="shared" si="2"/>
        <v>Green 3</v>
      </c>
      <c r="BUK7" s="23" t="str">
        <f t="shared" si="2"/>
        <v>Green 4</v>
      </c>
      <c r="BUL7" s="23" t="str">
        <f t="shared" si="2"/>
        <v>Green 5</v>
      </c>
      <c r="BUM7" s="23" t="str">
        <f t="shared" si="2"/>
        <v>Green 6</v>
      </c>
      <c r="BUN7" s="23" t="str">
        <f t="shared" si="2"/>
        <v>Green 7</v>
      </c>
      <c r="BUO7" s="23" t="str">
        <f t="shared" si="2"/>
        <v>Green 8</v>
      </c>
      <c r="BUP7" s="23" t="str">
        <f t="shared" si="2"/>
        <v>Green 9</v>
      </c>
      <c r="BUQ7" s="23" t="str">
        <f t="shared" si="2"/>
        <v>Green 10</v>
      </c>
      <c r="BUR7" s="23" t="str">
        <f t="shared" si="2"/>
        <v>Green 11</v>
      </c>
      <c r="BUS7" s="23" t="str">
        <f t="shared" si="2"/>
        <v>Green 12</v>
      </c>
      <c r="BXY7" s="18" t="s">
        <v>271</v>
      </c>
      <c r="BXZ7" s="18" t="str">
        <f t="shared" ca="1" si="1"/>
        <v>Statement</v>
      </c>
      <c r="BYA7" s="18">
        <f ca="1">_xlfn.SHEET( Statement!$NTP$1000000)</f>
        <v>4</v>
      </c>
      <c r="BYC7" s="18">
        <f>Statement!$NTP$1000000</f>
        <v>0</v>
      </c>
      <c r="BYD7" s="18" t="str">
        <f>Statement!$C$9</f>
        <v xml:space="preserve">Taxes    </v>
      </c>
      <c r="BYE7" s="46">
        <f>Statement!$D$9</f>
        <v>0</v>
      </c>
      <c r="BYF7" s="179">
        <f>BYF6+BYE7</f>
        <v>-77447.5</v>
      </c>
      <c r="BYG7" s="179"/>
      <c r="BYH7" s="179">
        <f>BYF6</f>
        <v>-77447.5</v>
      </c>
      <c r="BYI7" s="179">
        <f>BYF7</f>
        <v>-77447.5</v>
      </c>
      <c r="BYJ7" s="179">
        <f>MAX(BYH7:BYI7)</f>
        <v>-77447.5</v>
      </c>
    </row>
    <row r="8" spans="1:2420" x14ac:dyDescent="0.3">
      <c r="BUC8" s="18" t="s">
        <v>264</v>
      </c>
      <c r="BUD8" s="18" t="str">
        <f t="shared" ca="1" si="0"/>
        <v>#REF</v>
      </c>
      <c r="BUE8" s="18" t="e">
        <f ca="1" xml:space="preserve"> _xlfn.SHEET(#REF!)</f>
        <v>#REF!</v>
      </c>
      <c r="BUG8" s="18" t="e">
        <f>#REF!</f>
        <v>#REF!</v>
      </c>
      <c r="BUH8" s="24">
        <v>1</v>
      </c>
      <c r="BUI8" s="24">
        <f t="shared" ref="BUI8:BUS8" si="3">BUH8+1</f>
        <v>2</v>
      </c>
      <c r="BUJ8" s="24">
        <f t="shared" si="3"/>
        <v>3</v>
      </c>
      <c r="BUK8" s="24">
        <f t="shared" si="3"/>
        <v>4</v>
      </c>
      <c r="BUL8" s="24">
        <f t="shared" si="3"/>
        <v>5</v>
      </c>
      <c r="BUM8" s="24">
        <f t="shared" si="3"/>
        <v>6</v>
      </c>
      <c r="BUN8" s="24">
        <f t="shared" si="3"/>
        <v>7</v>
      </c>
      <c r="BUO8" s="24">
        <f t="shared" si="3"/>
        <v>8</v>
      </c>
      <c r="BUP8" s="24">
        <f t="shared" si="3"/>
        <v>9</v>
      </c>
      <c r="BUQ8" s="24">
        <f t="shared" si="3"/>
        <v>10</v>
      </c>
      <c r="BUR8" s="24">
        <f t="shared" si="3"/>
        <v>11</v>
      </c>
      <c r="BUS8" s="24">
        <f t="shared" si="3"/>
        <v>12</v>
      </c>
      <c r="BXY8" s="18" t="s">
        <v>271</v>
      </c>
      <c r="BXZ8" s="18" t="str">
        <f t="shared" ca="1" si="1"/>
        <v>Statement</v>
      </c>
      <c r="BYA8" s="18">
        <f ca="1">_xlfn.SHEET( Statement!$NTP$1000000)</f>
        <v>4</v>
      </c>
      <c r="BYC8" s="18">
        <f>Statement!$NTP$1000000</f>
        <v>0</v>
      </c>
      <c r="BYD8" s="18" t="str">
        <f>Statement!$C$10</f>
        <v xml:space="preserve">Net Profit   </v>
      </c>
      <c r="BYE8" s="46"/>
      <c r="BYG8" s="179">
        <f>BYF7</f>
        <v>-77447.5</v>
      </c>
    </row>
    <row r="9" spans="1:2420" x14ac:dyDescent="0.3">
      <c r="BUC9" s="18" t="s">
        <v>264</v>
      </c>
      <c r="BUD9" s="18" t="str">
        <f t="shared" ca="1" si="0"/>
        <v>#REF</v>
      </c>
      <c r="BUE9" s="18" t="e">
        <f ca="1" xml:space="preserve"> _xlfn.SHEET(#REF!)</f>
        <v>#REF!</v>
      </c>
      <c r="BUG9" s="18" t="e">
        <f>#REF!</f>
        <v>#REF!</v>
      </c>
      <c r="BUH9" s="24">
        <f>BUH8</f>
        <v>1</v>
      </c>
      <c r="BUI9" s="24">
        <f t="shared" ref="BUI9:BUS9" si="4">BUI8</f>
        <v>2</v>
      </c>
      <c r="BUJ9" s="24">
        <f t="shared" si="4"/>
        <v>3</v>
      </c>
      <c r="BUK9" s="24">
        <f t="shared" si="4"/>
        <v>4</v>
      </c>
      <c r="BUL9" s="24">
        <f t="shared" si="4"/>
        <v>5</v>
      </c>
      <c r="BUM9" s="24">
        <f t="shared" si="4"/>
        <v>6</v>
      </c>
      <c r="BUN9" s="24">
        <f t="shared" si="4"/>
        <v>7</v>
      </c>
      <c r="BUO9" s="24">
        <f t="shared" si="4"/>
        <v>8</v>
      </c>
      <c r="BUP9" s="24">
        <f t="shared" si="4"/>
        <v>9</v>
      </c>
      <c r="BUQ9" s="24">
        <f t="shared" si="4"/>
        <v>10</v>
      </c>
      <c r="BUR9" s="24">
        <f t="shared" si="4"/>
        <v>11</v>
      </c>
      <c r="BUS9" s="24">
        <f t="shared" si="4"/>
        <v>12</v>
      </c>
    </row>
    <row r="10" spans="1:2420" x14ac:dyDescent="0.3">
      <c r="BUC10" s="18" t="s">
        <v>264</v>
      </c>
      <c r="BUD10" s="18" t="str">
        <f t="shared" ca="1" si="0"/>
        <v>#REF</v>
      </c>
      <c r="BUE10" s="18" t="e">
        <f ca="1" xml:space="preserve"> _xlfn.SHEET(#REF!)</f>
        <v>#REF!</v>
      </c>
      <c r="BUG10" s="18" t="e">
        <f>#REF!</f>
        <v>#REF!</v>
      </c>
      <c r="BUH10" s="24" t="e">
        <f t="shared" ref="BUH10:BUS10" si="5">IF(BUH4&gt;BUH3,BUH3,0)</f>
        <v>#REF!</v>
      </c>
      <c r="BUI10" s="24" t="e">
        <f t="shared" si="5"/>
        <v>#REF!</v>
      </c>
      <c r="BUJ10" s="24">
        <f t="shared" si="5"/>
        <v>0</v>
      </c>
      <c r="BUK10" s="24">
        <f t="shared" si="5"/>
        <v>0</v>
      </c>
      <c r="BUL10" s="24">
        <f t="shared" si="5"/>
        <v>0</v>
      </c>
      <c r="BUM10" s="24" t="e">
        <f t="shared" si="5"/>
        <v>#REF!</v>
      </c>
      <c r="BUN10" s="24" t="e">
        <f t="shared" si="5"/>
        <v>#REF!</v>
      </c>
      <c r="BUO10" s="24" t="e">
        <f t="shared" si="5"/>
        <v>#REF!</v>
      </c>
      <c r="BUP10" s="24" t="e">
        <f t="shared" si="5"/>
        <v>#REF!</v>
      </c>
      <c r="BUQ10" s="24" t="e">
        <f t="shared" si="5"/>
        <v>#REF!</v>
      </c>
      <c r="BUR10" s="24" t="e">
        <f t="shared" si="5"/>
        <v>#REF!</v>
      </c>
      <c r="BUS10" s="24" t="e">
        <f t="shared" si="5"/>
        <v>#REF!</v>
      </c>
    </row>
    <row r="11" spans="1:2420" x14ac:dyDescent="0.3">
      <c r="BUC11" s="18" t="s">
        <v>264</v>
      </c>
      <c r="BUD11" s="18" t="str">
        <f t="shared" ca="1" si="0"/>
        <v>#REF</v>
      </c>
      <c r="BUE11" s="18" t="e">
        <f ca="1" xml:space="preserve"> _xlfn.SHEET(#REF!)</f>
        <v>#REF!</v>
      </c>
      <c r="BUG11" s="18" t="e">
        <f>#REF!</f>
        <v>#REF!</v>
      </c>
      <c r="BUH11" s="24" t="e">
        <f t="shared" ref="BUH11:BUS11" si="6">IF(BUH4&gt;BUH3,BUH4,0)</f>
        <v>#REF!</v>
      </c>
      <c r="BUI11" s="24" t="e">
        <f t="shared" si="6"/>
        <v>#REF!</v>
      </c>
      <c r="BUJ11" s="24">
        <f t="shared" si="6"/>
        <v>0</v>
      </c>
      <c r="BUK11" s="24">
        <f t="shared" si="6"/>
        <v>0</v>
      </c>
      <c r="BUL11" s="24">
        <f t="shared" si="6"/>
        <v>0</v>
      </c>
      <c r="BUM11" s="24" t="e">
        <f t="shared" si="6"/>
        <v>#REF!</v>
      </c>
      <c r="BUN11" s="24" t="e">
        <f t="shared" si="6"/>
        <v>#REF!</v>
      </c>
      <c r="BUO11" s="24" t="e">
        <f t="shared" si="6"/>
        <v>#REF!</v>
      </c>
      <c r="BUP11" s="24" t="e">
        <f t="shared" si="6"/>
        <v>#REF!</v>
      </c>
      <c r="BUQ11" s="24" t="e">
        <f t="shared" si="6"/>
        <v>#REF!</v>
      </c>
      <c r="BUR11" s="24" t="e">
        <f t="shared" si="6"/>
        <v>#REF!</v>
      </c>
      <c r="BUS11" s="24" t="e">
        <f t="shared" si="6"/>
        <v>#REF!</v>
      </c>
    </row>
    <row r="12" spans="1:2420" x14ac:dyDescent="0.3">
      <c r="BUC12" s="18" t="s">
        <v>264</v>
      </c>
      <c r="BUD12" s="18" t="str">
        <f t="shared" ca="1" si="0"/>
        <v>#REF</v>
      </c>
      <c r="BUE12" s="18" t="e">
        <f ca="1" xml:space="preserve"> _xlfn.SHEET(#REF!)</f>
        <v>#REF!</v>
      </c>
      <c r="BUG12" s="18" t="e">
        <f>#REF!</f>
        <v>#REF!</v>
      </c>
      <c r="BUH12" s="25" t="s">
        <v>266</v>
      </c>
      <c r="BUI12" s="25" t="s">
        <v>266</v>
      </c>
      <c r="BUJ12" s="25" t="s">
        <v>266</v>
      </c>
      <c r="BUK12" s="25" t="s">
        <v>266</v>
      </c>
      <c r="BUL12" s="25" t="s">
        <v>266</v>
      </c>
      <c r="BUM12" s="25" t="s">
        <v>266</v>
      </c>
      <c r="BUN12" s="25" t="s">
        <v>266</v>
      </c>
      <c r="BUO12" s="25" t="s">
        <v>266</v>
      </c>
      <c r="BUP12" s="25" t="s">
        <v>266</v>
      </c>
      <c r="BUQ12" s="25" t="s">
        <v>266</v>
      </c>
      <c r="BUR12" s="25" t="s">
        <v>266</v>
      </c>
      <c r="BUS12" s="25" t="s">
        <v>266</v>
      </c>
    </row>
    <row r="13" spans="1:2420" x14ac:dyDescent="0.3">
      <c r="BUC13" s="18" t="s">
        <v>264</v>
      </c>
      <c r="BUD13" s="18" t="str">
        <f t="shared" ca="1" si="0"/>
        <v>#REF</v>
      </c>
      <c r="BUE13" s="18" t="e">
        <f ca="1" xml:space="preserve"> _xlfn.SHEET(#REF!)</f>
        <v>#REF!</v>
      </c>
      <c r="BUG13" s="18" t="e">
        <f>#REF!</f>
        <v>#REF!</v>
      </c>
      <c r="BUH13" s="25" t="str">
        <f>CONCATENATE(BUH12," ",BUH14)</f>
        <v>Red 1</v>
      </c>
      <c r="BUI13" s="25" t="str">
        <f t="shared" ref="BUI13:BUS13" si="7">CONCATENATE(BUI12," ",BUI14)</f>
        <v>Red 2</v>
      </c>
      <c r="BUJ13" s="25" t="str">
        <f t="shared" si="7"/>
        <v>Red 3</v>
      </c>
      <c r="BUK13" s="25" t="str">
        <f t="shared" si="7"/>
        <v>Red 4</v>
      </c>
      <c r="BUL13" s="25" t="str">
        <f t="shared" si="7"/>
        <v>Red 5</v>
      </c>
      <c r="BUM13" s="25" t="str">
        <f t="shared" si="7"/>
        <v>Red 6</v>
      </c>
      <c r="BUN13" s="25" t="str">
        <f t="shared" si="7"/>
        <v>Red 7</v>
      </c>
      <c r="BUO13" s="25" t="str">
        <f t="shared" si="7"/>
        <v>Red 8</v>
      </c>
      <c r="BUP13" s="25" t="str">
        <f t="shared" si="7"/>
        <v>Red 9</v>
      </c>
      <c r="BUQ13" s="25" t="str">
        <f t="shared" si="7"/>
        <v>Red 10</v>
      </c>
      <c r="BUR13" s="25" t="str">
        <f t="shared" si="7"/>
        <v>Red 11</v>
      </c>
      <c r="BUS13" s="25" t="str">
        <f t="shared" si="7"/>
        <v>Red 12</v>
      </c>
    </row>
    <row r="14" spans="1:2420" x14ac:dyDescent="0.3">
      <c r="BUC14" s="18" t="s">
        <v>264</v>
      </c>
      <c r="BUD14" s="18" t="str">
        <f t="shared" ca="1" si="0"/>
        <v>#REF</v>
      </c>
      <c r="BUE14" s="18" t="e">
        <f ca="1" xml:space="preserve"> _xlfn.SHEET(#REF!)</f>
        <v>#REF!</v>
      </c>
      <c r="BUG14" s="18" t="e">
        <f>#REF!</f>
        <v>#REF!</v>
      </c>
      <c r="BUH14" s="26">
        <f>BUH8</f>
        <v>1</v>
      </c>
      <c r="BUI14" s="26">
        <f t="shared" ref="BUI14:BUS14" si="8">BUI8</f>
        <v>2</v>
      </c>
      <c r="BUJ14" s="26">
        <f t="shared" si="8"/>
        <v>3</v>
      </c>
      <c r="BUK14" s="26">
        <f t="shared" si="8"/>
        <v>4</v>
      </c>
      <c r="BUL14" s="26">
        <f t="shared" si="8"/>
        <v>5</v>
      </c>
      <c r="BUM14" s="26">
        <f t="shared" si="8"/>
        <v>6</v>
      </c>
      <c r="BUN14" s="26">
        <f t="shared" si="8"/>
        <v>7</v>
      </c>
      <c r="BUO14" s="26">
        <f t="shared" si="8"/>
        <v>8</v>
      </c>
      <c r="BUP14" s="26">
        <f t="shared" si="8"/>
        <v>9</v>
      </c>
      <c r="BUQ14" s="26">
        <f t="shared" si="8"/>
        <v>10</v>
      </c>
      <c r="BUR14" s="26">
        <f t="shared" si="8"/>
        <v>11</v>
      </c>
      <c r="BUS14" s="26">
        <f t="shared" si="8"/>
        <v>12</v>
      </c>
    </row>
    <row r="15" spans="1:2420" x14ac:dyDescent="0.3">
      <c r="BUC15" s="18" t="s">
        <v>264</v>
      </c>
      <c r="BUD15" s="18" t="str">
        <f t="shared" ca="1" si="0"/>
        <v>#REF</v>
      </c>
      <c r="BUE15" s="18" t="e">
        <f ca="1" xml:space="preserve"> _xlfn.SHEET(#REF!)</f>
        <v>#REF!</v>
      </c>
      <c r="BUG15" s="18" t="e">
        <f>#REF!</f>
        <v>#REF!</v>
      </c>
      <c r="BUH15" s="26">
        <f>BUH8</f>
        <v>1</v>
      </c>
      <c r="BUI15" s="26">
        <f t="shared" ref="BUI15:BUS15" si="9">BUI8</f>
        <v>2</v>
      </c>
      <c r="BUJ15" s="26">
        <f t="shared" si="9"/>
        <v>3</v>
      </c>
      <c r="BUK15" s="26">
        <f t="shared" si="9"/>
        <v>4</v>
      </c>
      <c r="BUL15" s="26">
        <f t="shared" si="9"/>
        <v>5</v>
      </c>
      <c r="BUM15" s="26">
        <f t="shared" si="9"/>
        <v>6</v>
      </c>
      <c r="BUN15" s="26">
        <f t="shared" si="9"/>
        <v>7</v>
      </c>
      <c r="BUO15" s="26">
        <f t="shared" si="9"/>
        <v>8</v>
      </c>
      <c r="BUP15" s="26">
        <f t="shared" si="9"/>
        <v>9</v>
      </c>
      <c r="BUQ15" s="26">
        <f t="shared" si="9"/>
        <v>10</v>
      </c>
      <c r="BUR15" s="26">
        <f t="shared" si="9"/>
        <v>11</v>
      </c>
      <c r="BUS15" s="26">
        <f t="shared" si="9"/>
        <v>12</v>
      </c>
    </row>
    <row r="16" spans="1:2420" x14ac:dyDescent="0.3">
      <c r="BUC16" s="18" t="s">
        <v>264</v>
      </c>
      <c r="BUD16" s="18" t="str">
        <f t="shared" ca="1" si="0"/>
        <v>#REF</v>
      </c>
      <c r="BUE16" s="18" t="e">
        <f ca="1" xml:space="preserve"> _xlfn.SHEET(#REF!)</f>
        <v>#REF!</v>
      </c>
      <c r="BUG16" s="18" t="e">
        <f>#REF!</f>
        <v>#REF!</v>
      </c>
      <c r="BUH16" s="26" t="e">
        <f t="shared" ref="BUH16:BUS16" si="10">IF(BUH3&gt;BUH4,BUH3,0)</f>
        <v>#REF!</v>
      </c>
      <c r="BUI16" s="26" t="e">
        <f t="shared" si="10"/>
        <v>#REF!</v>
      </c>
      <c r="BUJ16" s="176">
        <f t="shared" si="10"/>
        <v>4436387.0750000002</v>
      </c>
      <c r="BUK16" s="176">
        <f t="shared" si="10"/>
        <v>5049956.3133333325</v>
      </c>
      <c r="BUL16" s="176">
        <f t="shared" si="10"/>
        <v>5450505.0679166652</v>
      </c>
      <c r="BUM16" s="26" t="e">
        <f t="shared" si="10"/>
        <v>#REF!</v>
      </c>
      <c r="BUN16" s="26" t="e">
        <f t="shared" si="10"/>
        <v>#REF!</v>
      </c>
      <c r="BUO16" s="26" t="e">
        <f t="shared" si="10"/>
        <v>#REF!</v>
      </c>
      <c r="BUP16" s="26" t="e">
        <f t="shared" si="10"/>
        <v>#REF!</v>
      </c>
      <c r="BUQ16" s="26" t="e">
        <f t="shared" si="10"/>
        <v>#REF!</v>
      </c>
      <c r="BUR16" s="26" t="e">
        <f t="shared" si="10"/>
        <v>#REF!</v>
      </c>
      <c r="BUS16" s="26" t="e">
        <f t="shared" si="10"/>
        <v>#REF!</v>
      </c>
    </row>
    <row r="17" spans="1901:1917" x14ac:dyDescent="0.3">
      <c r="BUC17" s="18" t="s">
        <v>264</v>
      </c>
      <c r="BUD17" s="18" t="str">
        <f t="shared" ca="1" si="0"/>
        <v>#REF</v>
      </c>
      <c r="BUE17" s="18" t="e">
        <f ca="1" xml:space="preserve"> _xlfn.SHEET(#REF!)</f>
        <v>#REF!</v>
      </c>
      <c r="BUG17" s="18" t="e">
        <f>#REF!</f>
        <v>#REF!</v>
      </c>
      <c r="BUH17" s="26" t="e">
        <f t="shared" ref="BUH17:BUS17" si="11">IF(BUH3&gt;BUH4,BUH4,0)</f>
        <v>#REF!</v>
      </c>
      <c r="BUI17" s="26" t="e">
        <f t="shared" si="11"/>
        <v>#REF!</v>
      </c>
      <c r="BUJ17" s="176">
        <f t="shared" si="11"/>
        <v>3695136.375</v>
      </c>
      <c r="BUK17" s="176">
        <f t="shared" si="11"/>
        <v>4272841.6500000004</v>
      </c>
      <c r="BUL17" s="176">
        <f t="shared" si="11"/>
        <v>4209841.6500000004</v>
      </c>
      <c r="BUM17" s="26" t="e">
        <f t="shared" si="11"/>
        <v>#REF!</v>
      </c>
      <c r="BUN17" s="26" t="e">
        <f t="shared" si="11"/>
        <v>#REF!</v>
      </c>
      <c r="BUO17" s="26" t="e">
        <f t="shared" si="11"/>
        <v>#REF!</v>
      </c>
      <c r="BUP17" s="26" t="e">
        <f t="shared" si="11"/>
        <v>#REF!</v>
      </c>
      <c r="BUQ17" s="26" t="e">
        <f t="shared" si="11"/>
        <v>#REF!</v>
      </c>
      <c r="BUR17" s="26" t="e">
        <f t="shared" si="11"/>
        <v>#REF!</v>
      </c>
      <c r="BUS17" s="26" t="e">
        <f t="shared" si="11"/>
        <v>#REF!</v>
      </c>
    </row>
    <row r="18" spans="1901:1917" x14ac:dyDescent="0.3">
      <c r="BUC18" s="18" t="s">
        <v>264</v>
      </c>
      <c r="BUD18" s="18" t="str">
        <f t="shared" ca="1" si="0"/>
        <v>#REF</v>
      </c>
      <c r="BUE18" s="18" t="e">
        <f ca="1" xml:space="preserve"> _xlfn.SHEET(#REF!)</f>
        <v>#REF!</v>
      </c>
      <c r="BUG18" s="18" t="e">
        <f>#REF!</f>
        <v>#REF!</v>
      </c>
      <c r="BUH18" s="27" t="s">
        <v>267</v>
      </c>
      <c r="BUI18" s="27" t="s">
        <v>267</v>
      </c>
      <c r="BUJ18" s="27" t="s">
        <v>267</v>
      </c>
      <c r="BUK18" s="27" t="s">
        <v>267</v>
      </c>
      <c r="BUL18" s="27" t="s">
        <v>267</v>
      </c>
      <c r="BUM18" s="27" t="s">
        <v>267</v>
      </c>
      <c r="BUN18" s="27" t="s">
        <v>267</v>
      </c>
      <c r="BUO18" s="27" t="s">
        <v>267</v>
      </c>
      <c r="BUP18" s="27" t="s">
        <v>267</v>
      </c>
      <c r="BUQ18" s="27" t="s">
        <v>267</v>
      </c>
      <c r="BUR18" s="27" t="s">
        <v>267</v>
      </c>
      <c r="BUS18" s="27" t="s">
        <v>267</v>
      </c>
    </row>
    <row r="19" spans="1901:1917" x14ac:dyDescent="0.3">
      <c r="BUC19" s="18" t="s">
        <v>264</v>
      </c>
      <c r="BUD19" s="18" t="str">
        <f t="shared" ca="1" si="0"/>
        <v>#REF</v>
      </c>
      <c r="BUE19" s="18" t="e">
        <f ca="1" xml:space="preserve"> _xlfn.SHEET(#REF!)</f>
        <v>#REF!</v>
      </c>
      <c r="BUG19" s="18" t="e">
        <f>#REF!</f>
        <v>#REF!</v>
      </c>
      <c r="BUH19" s="27" t="str">
        <f>CONCATENATE(BUH18," ",BUH8)</f>
        <v>Actual 1</v>
      </c>
      <c r="BUI19" s="27" t="str">
        <f t="shared" ref="BUI19:BUS19" si="12">CONCATENATE(BUI18," ",BUI8)</f>
        <v>Actual 2</v>
      </c>
      <c r="BUJ19" s="27" t="str">
        <f t="shared" si="12"/>
        <v>Actual 3</v>
      </c>
      <c r="BUK19" s="27" t="str">
        <f t="shared" si="12"/>
        <v>Actual 4</v>
      </c>
      <c r="BUL19" s="27" t="str">
        <f t="shared" si="12"/>
        <v>Actual 5</v>
      </c>
      <c r="BUM19" s="27" t="str">
        <f t="shared" si="12"/>
        <v>Actual 6</v>
      </c>
      <c r="BUN19" s="27" t="str">
        <f t="shared" si="12"/>
        <v>Actual 7</v>
      </c>
      <c r="BUO19" s="27" t="str">
        <f t="shared" si="12"/>
        <v>Actual 8</v>
      </c>
      <c r="BUP19" s="27" t="str">
        <f t="shared" si="12"/>
        <v>Actual 9</v>
      </c>
      <c r="BUQ19" s="27" t="str">
        <f t="shared" si="12"/>
        <v>Actual 10</v>
      </c>
      <c r="BUR19" s="27" t="str">
        <f t="shared" si="12"/>
        <v>Actual 11</v>
      </c>
      <c r="BUS19" s="27" t="str">
        <f t="shared" si="12"/>
        <v>Actual 12</v>
      </c>
    </row>
    <row r="20" spans="1901:1917" x14ac:dyDescent="0.3">
      <c r="BUC20" s="18" t="s">
        <v>264</v>
      </c>
      <c r="BUD20" s="18" t="str">
        <f t="shared" ca="1" si="0"/>
        <v>#REF</v>
      </c>
      <c r="BUE20" s="18" t="e">
        <f ca="1" xml:space="preserve"> _xlfn.SHEET(#REF!)</f>
        <v>#REF!</v>
      </c>
      <c r="BUG20" s="18" t="e">
        <f>#REF!</f>
        <v>#REF!</v>
      </c>
      <c r="BUH20" s="28">
        <f>BUH8-0.25</f>
        <v>0.75</v>
      </c>
      <c r="BUI20" s="28">
        <f t="shared" ref="BUI20:BUS20" si="13">BUI8-0.25</f>
        <v>1.75</v>
      </c>
      <c r="BUJ20" s="28">
        <f t="shared" si="13"/>
        <v>2.75</v>
      </c>
      <c r="BUK20" s="28">
        <f t="shared" si="13"/>
        <v>3.75</v>
      </c>
      <c r="BUL20" s="28">
        <f t="shared" si="13"/>
        <v>4.75</v>
      </c>
      <c r="BUM20" s="28">
        <f t="shared" si="13"/>
        <v>5.75</v>
      </c>
      <c r="BUN20" s="28">
        <f t="shared" si="13"/>
        <v>6.75</v>
      </c>
      <c r="BUO20" s="28">
        <f t="shared" si="13"/>
        <v>7.75</v>
      </c>
      <c r="BUP20" s="28">
        <f t="shared" si="13"/>
        <v>8.75</v>
      </c>
      <c r="BUQ20" s="28">
        <f t="shared" si="13"/>
        <v>9.75</v>
      </c>
      <c r="BUR20" s="28">
        <f t="shared" si="13"/>
        <v>10.75</v>
      </c>
      <c r="BUS20" s="28">
        <f t="shared" si="13"/>
        <v>11.75</v>
      </c>
    </row>
    <row r="21" spans="1901:1917" x14ac:dyDescent="0.3">
      <c r="BUC21" s="18" t="s">
        <v>264</v>
      </c>
      <c r="BUD21" s="18" t="str">
        <f t="shared" ca="1" si="0"/>
        <v>#REF</v>
      </c>
      <c r="BUE21" s="18" t="e">
        <f ca="1" xml:space="preserve"> _xlfn.SHEET(#REF!)</f>
        <v>#REF!</v>
      </c>
      <c r="BUG21" s="18" t="e">
        <f>#REF!</f>
        <v>#REF!</v>
      </c>
      <c r="BUH21" s="28">
        <f>BUH8-0.25</f>
        <v>0.75</v>
      </c>
      <c r="BUI21" s="28">
        <f t="shared" ref="BUI21:BUS21" si="14">BUI8-0.25</f>
        <v>1.75</v>
      </c>
      <c r="BUJ21" s="28">
        <f t="shared" si="14"/>
        <v>2.75</v>
      </c>
      <c r="BUK21" s="28">
        <f t="shared" si="14"/>
        <v>3.75</v>
      </c>
      <c r="BUL21" s="28">
        <f t="shared" si="14"/>
        <v>4.75</v>
      </c>
      <c r="BUM21" s="28">
        <f t="shared" si="14"/>
        <v>5.75</v>
      </c>
      <c r="BUN21" s="28">
        <f t="shared" si="14"/>
        <v>6.75</v>
      </c>
      <c r="BUO21" s="28">
        <f t="shared" si="14"/>
        <v>7.75</v>
      </c>
      <c r="BUP21" s="28">
        <f t="shared" si="14"/>
        <v>8.75</v>
      </c>
      <c r="BUQ21" s="28">
        <f t="shared" si="14"/>
        <v>9.75</v>
      </c>
      <c r="BUR21" s="28">
        <f t="shared" si="14"/>
        <v>10.75</v>
      </c>
      <c r="BUS21" s="28">
        <f t="shared" si="14"/>
        <v>11.75</v>
      </c>
    </row>
    <row r="22" spans="1901:1917" x14ac:dyDescent="0.3">
      <c r="BUC22" s="18" t="s">
        <v>264</v>
      </c>
      <c r="BUD22" s="18" t="str">
        <f t="shared" ca="1" si="0"/>
        <v>#REF</v>
      </c>
      <c r="BUE22" s="18" t="e">
        <f ca="1" xml:space="preserve"> _xlfn.SHEET(#REF!)</f>
        <v>#REF!</v>
      </c>
      <c r="BUG22" s="18" t="e">
        <f>#REF!</f>
        <v>#REF!</v>
      </c>
      <c r="BUH22" s="28">
        <v>0</v>
      </c>
      <c r="BUI22" s="28">
        <v>0</v>
      </c>
      <c r="BUJ22" s="28">
        <v>0</v>
      </c>
      <c r="BUK22" s="28">
        <v>0</v>
      </c>
      <c r="BUL22" s="28">
        <v>0</v>
      </c>
      <c r="BUM22" s="28">
        <v>0</v>
      </c>
      <c r="BUN22" s="28">
        <v>0</v>
      </c>
      <c r="BUO22" s="28">
        <v>0</v>
      </c>
      <c r="BUP22" s="28">
        <v>0</v>
      </c>
      <c r="BUQ22" s="28">
        <v>0</v>
      </c>
      <c r="BUR22" s="28">
        <v>0</v>
      </c>
      <c r="BUS22" s="28">
        <v>0</v>
      </c>
    </row>
    <row r="23" spans="1901:1917" x14ac:dyDescent="0.3">
      <c r="BUC23" s="18" t="s">
        <v>264</v>
      </c>
      <c r="BUD23" s="18" t="str">
        <f t="shared" ca="1" si="0"/>
        <v>#REF</v>
      </c>
      <c r="BUE23" s="18" t="e">
        <f ca="1" xml:space="preserve"> _xlfn.SHEET(#REF!)</f>
        <v>#REF!</v>
      </c>
      <c r="BUG23" s="18" t="e">
        <f>#REF!</f>
        <v>#REF!</v>
      </c>
      <c r="BUH23" s="28" t="e">
        <f t="shared" ref="BUH23:BUS23" si="15">IF(BUH4=0,"",BUH4)</f>
        <v>#REF!</v>
      </c>
      <c r="BUI23" s="28" t="e">
        <f t="shared" si="15"/>
        <v>#REF!</v>
      </c>
      <c r="BUJ23" s="175">
        <f t="shared" si="15"/>
        <v>3695136.375</v>
      </c>
      <c r="BUK23" s="175">
        <f t="shared" si="15"/>
        <v>4272841.6500000004</v>
      </c>
      <c r="BUL23" s="175">
        <f t="shared" si="15"/>
        <v>4209841.6500000004</v>
      </c>
      <c r="BUM23" s="28" t="e">
        <f t="shared" si="15"/>
        <v>#REF!</v>
      </c>
      <c r="BUN23" s="28" t="e">
        <f t="shared" si="15"/>
        <v>#REF!</v>
      </c>
      <c r="BUO23" s="28" t="e">
        <f t="shared" si="15"/>
        <v>#REF!</v>
      </c>
      <c r="BUP23" s="28" t="e">
        <f t="shared" si="15"/>
        <v>#REF!</v>
      </c>
      <c r="BUQ23" s="28" t="e">
        <f t="shared" si="15"/>
        <v>#REF!</v>
      </c>
      <c r="BUR23" s="28" t="e">
        <f t="shared" si="15"/>
        <v>#REF!</v>
      </c>
      <c r="BUS23" s="28" t="e">
        <f t="shared" si="15"/>
        <v>#REF!</v>
      </c>
    </row>
    <row r="24" spans="1901:1917" x14ac:dyDescent="0.3">
      <c r="BUC24" s="18" t="s">
        <v>264</v>
      </c>
      <c r="BUD24" s="18" t="str">
        <f t="shared" ca="1" si="0"/>
        <v>#REF</v>
      </c>
      <c r="BUE24" s="18" t="e">
        <f ca="1" xml:space="preserve"> _xlfn.SHEET(#REF!)</f>
        <v>#REF!</v>
      </c>
      <c r="BUG24" s="18" t="e">
        <f>#REF!</f>
        <v>#REF!</v>
      </c>
      <c r="BUH24" s="29" t="s">
        <v>268</v>
      </c>
      <c r="BUI24" s="29" t="s">
        <v>268</v>
      </c>
      <c r="BUJ24" s="29" t="s">
        <v>268</v>
      </c>
      <c r="BUK24" s="29" t="s">
        <v>268</v>
      </c>
      <c r="BUL24" s="29" t="s">
        <v>268</v>
      </c>
      <c r="BUM24" s="29" t="s">
        <v>268</v>
      </c>
      <c r="BUN24" s="29" t="s">
        <v>268</v>
      </c>
      <c r="BUO24" s="29" t="s">
        <v>268</v>
      </c>
      <c r="BUP24" s="29" t="s">
        <v>268</v>
      </c>
      <c r="BUQ24" s="29" t="s">
        <v>268</v>
      </c>
      <c r="BUR24" s="29" t="s">
        <v>268</v>
      </c>
      <c r="BUS24" s="29" t="s">
        <v>268</v>
      </c>
    </row>
    <row r="25" spans="1901:1917" x14ac:dyDescent="0.3">
      <c r="BUC25" s="18" t="s">
        <v>264</v>
      </c>
      <c r="BUD25" s="18" t="str">
        <f t="shared" ca="1" si="0"/>
        <v>#REF</v>
      </c>
      <c r="BUE25" s="18" t="e">
        <f ca="1" xml:space="preserve"> _xlfn.SHEET(#REF!)</f>
        <v>#REF!</v>
      </c>
      <c r="BUG25" s="18" t="e">
        <f>#REF!</f>
        <v>#REF!</v>
      </c>
      <c r="BUH25" s="30">
        <f>BUH8-0.23</f>
        <v>0.77</v>
      </c>
      <c r="BUI25" s="30">
        <f t="shared" ref="BUI25:BUS25" si="16">BUI8+0.22</f>
        <v>2.2200000000000002</v>
      </c>
      <c r="BUJ25" s="30">
        <f t="shared" si="16"/>
        <v>3.22</v>
      </c>
      <c r="BUK25" s="30">
        <f t="shared" si="16"/>
        <v>4.22</v>
      </c>
      <c r="BUL25" s="30">
        <f t="shared" si="16"/>
        <v>5.22</v>
      </c>
      <c r="BUM25" s="30">
        <f t="shared" si="16"/>
        <v>6.22</v>
      </c>
      <c r="BUN25" s="30">
        <f t="shared" si="16"/>
        <v>7.22</v>
      </c>
      <c r="BUO25" s="30">
        <f t="shared" si="16"/>
        <v>8.2200000000000006</v>
      </c>
      <c r="BUP25" s="30">
        <f t="shared" si="16"/>
        <v>9.2200000000000006</v>
      </c>
      <c r="BUQ25" s="30">
        <f t="shared" si="16"/>
        <v>10.220000000000001</v>
      </c>
      <c r="BUR25" s="30">
        <f t="shared" si="16"/>
        <v>11.22</v>
      </c>
      <c r="BUS25" s="30">
        <f t="shared" si="16"/>
        <v>12.22</v>
      </c>
    </row>
    <row r="26" spans="1901:1917" x14ac:dyDescent="0.3">
      <c r="BUC26" s="18" t="s">
        <v>264</v>
      </c>
      <c r="BUD26" s="18" t="str">
        <f t="shared" ca="1" si="0"/>
        <v>#REF</v>
      </c>
      <c r="BUE26" s="18" t="e">
        <f ca="1" xml:space="preserve"> _xlfn.SHEET(#REF!)</f>
        <v>#REF!</v>
      </c>
      <c r="BUG26" s="18" t="e">
        <f>#REF!</f>
        <v>#REF!</v>
      </c>
      <c r="BUH26" s="30">
        <v>0</v>
      </c>
      <c r="BUI26" s="30">
        <v>0</v>
      </c>
      <c r="BUJ26" s="30">
        <v>0</v>
      </c>
      <c r="BUK26" s="30">
        <v>0</v>
      </c>
      <c r="BUL26" s="30">
        <v>0</v>
      </c>
      <c r="BUM26" s="30">
        <v>0</v>
      </c>
      <c r="BUN26" s="30">
        <v>0</v>
      </c>
      <c r="BUO26" s="30">
        <v>0</v>
      </c>
      <c r="BUP26" s="30">
        <v>0</v>
      </c>
      <c r="BUQ26" s="30">
        <v>0</v>
      </c>
      <c r="BUR26" s="30">
        <v>0</v>
      </c>
      <c r="BUS26" s="30">
        <v>0</v>
      </c>
    </row>
    <row r="27" spans="1901:1917" x14ac:dyDescent="0.3">
      <c r="BUC27" s="18" t="s">
        <v>264</v>
      </c>
      <c r="BUD27" s="18" t="str">
        <f t="shared" ca="1" si="0"/>
        <v>#REF</v>
      </c>
      <c r="BUE27" s="18" t="e">
        <f ca="1" xml:space="preserve"> _xlfn.SHEET(#REF!)</f>
        <v>#REF!</v>
      </c>
      <c r="BUG27" s="18" t="e">
        <f>#REF!</f>
        <v>#REF!</v>
      </c>
      <c r="BUH27" s="31" t="s">
        <v>269</v>
      </c>
      <c r="BUI27" s="31" t="s">
        <v>269</v>
      </c>
      <c r="BUJ27" s="31" t="s">
        <v>269</v>
      </c>
      <c r="BUK27" s="31" t="s">
        <v>269</v>
      </c>
      <c r="BUL27" s="31" t="s">
        <v>269</v>
      </c>
      <c r="BUM27" s="31" t="s">
        <v>269</v>
      </c>
      <c r="BUN27" s="31" t="s">
        <v>269</v>
      </c>
      <c r="BUO27" s="31" t="s">
        <v>269</v>
      </c>
      <c r="BUP27" s="31" t="s">
        <v>269</v>
      </c>
      <c r="BUQ27" s="31" t="s">
        <v>269</v>
      </c>
      <c r="BUR27" s="31" t="s">
        <v>269</v>
      </c>
      <c r="BUS27" s="31" t="s">
        <v>269</v>
      </c>
    </row>
    <row r="28" spans="1901:1917" x14ac:dyDescent="0.3">
      <c r="BUC28" s="18" t="s">
        <v>264</v>
      </c>
      <c r="BUD28" s="18" t="str">
        <f t="shared" ca="1" si="0"/>
        <v>#REF</v>
      </c>
      <c r="BUE28" s="18" t="e">
        <f ca="1" xml:space="preserve"> _xlfn.SHEET(#REF!)</f>
        <v>#REF!</v>
      </c>
      <c r="BUG28" s="18" t="e">
        <f>#REF!</f>
        <v>#REF!</v>
      </c>
      <c r="BUH28" s="31" t="str">
        <f>CONCATENATE(BUH27," ",BUH29)</f>
        <v>Var 1</v>
      </c>
      <c r="BUI28" s="31" t="str">
        <f t="shared" ref="BUI28:BUS28" si="17">CONCATENATE(BUI27," ",BUI29)</f>
        <v>Var 2</v>
      </c>
      <c r="BUJ28" s="31" t="str">
        <f t="shared" si="17"/>
        <v>Var 3</v>
      </c>
      <c r="BUK28" s="31" t="str">
        <f t="shared" si="17"/>
        <v>Var 4</v>
      </c>
      <c r="BUL28" s="31" t="str">
        <f t="shared" si="17"/>
        <v>Var 5</v>
      </c>
      <c r="BUM28" s="31" t="str">
        <f t="shared" si="17"/>
        <v>Var 6</v>
      </c>
      <c r="BUN28" s="31" t="str">
        <f t="shared" si="17"/>
        <v>Var 7</v>
      </c>
      <c r="BUO28" s="31" t="str">
        <f t="shared" si="17"/>
        <v>Var 8</v>
      </c>
      <c r="BUP28" s="31" t="str">
        <f t="shared" si="17"/>
        <v>Var 9</v>
      </c>
      <c r="BUQ28" s="31" t="str">
        <f t="shared" si="17"/>
        <v>Var 10</v>
      </c>
      <c r="BUR28" s="31" t="str">
        <f t="shared" si="17"/>
        <v>Var 11</v>
      </c>
      <c r="BUS28" s="31" t="str">
        <f t="shared" si="17"/>
        <v>Var 12</v>
      </c>
    </row>
    <row r="29" spans="1901:1917" x14ac:dyDescent="0.3">
      <c r="BUC29" s="18" t="s">
        <v>264</v>
      </c>
      <c r="BUD29" s="18" t="str">
        <f t="shared" ca="1" si="0"/>
        <v>#REF</v>
      </c>
      <c r="BUE29" s="18" t="e">
        <f ca="1" xml:space="preserve"> _xlfn.SHEET(#REF!)</f>
        <v>#REF!</v>
      </c>
      <c r="BUG29" s="18" t="e">
        <f>#REF!</f>
        <v>#REF!</v>
      </c>
      <c r="BUH29" s="32">
        <f>BUH8</f>
        <v>1</v>
      </c>
      <c r="BUI29" s="32">
        <f t="shared" ref="BUI29:BUS29" si="18">BUI8</f>
        <v>2</v>
      </c>
      <c r="BUJ29" s="32">
        <f t="shared" si="18"/>
        <v>3</v>
      </c>
      <c r="BUK29" s="32">
        <f t="shared" si="18"/>
        <v>4</v>
      </c>
      <c r="BUL29" s="32">
        <f t="shared" si="18"/>
        <v>5</v>
      </c>
      <c r="BUM29" s="32">
        <f t="shared" si="18"/>
        <v>6</v>
      </c>
      <c r="BUN29" s="32">
        <f t="shared" si="18"/>
        <v>7</v>
      </c>
      <c r="BUO29" s="32">
        <f t="shared" si="18"/>
        <v>8</v>
      </c>
      <c r="BUP29" s="32">
        <f t="shared" si="18"/>
        <v>9</v>
      </c>
      <c r="BUQ29" s="32">
        <f t="shared" si="18"/>
        <v>10</v>
      </c>
      <c r="BUR29" s="32">
        <f t="shared" si="18"/>
        <v>11</v>
      </c>
      <c r="BUS29" s="32">
        <f t="shared" si="18"/>
        <v>12</v>
      </c>
    </row>
    <row r="30" spans="1901:1917" x14ac:dyDescent="0.3">
      <c r="BUC30" s="18" t="s">
        <v>264</v>
      </c>
      <c r="BUD30" s="18" t="str">
        <f t="shared" ca="1" si="0"/>
        <v>#REF</v>
      </c>
      <c r="BUE30" s="18" t="e">
        <f ca="1" xml:space="preserve"> _xlfn.SHEET(#REF!)</f>
        <v>#REF!</v>
      </c>
      <c r="BUG30" s="18" t="e">
        <f>#REF!</f>
        <v>#REF!</v>
      </c>
      <c r="BUH30" s="33" t="e">
        <f t="shared" ref="BUH30:BUS30" si="19">MAX(BUH3:BUH4)</f>
        <v>#REF!</v>
      </c>
      <c r="BUI30" s="33" t="e">
        <f t="shared" si="19"/>
        <v>#REF!</v>
      </c>
      <c r="BUJ30" s="33">
        <f t="shared" si="19"/>
        <v>4436387.0750000002</v>
      </c>
      <c r="BUK30" s="33">
        <f t="shared" si="19"/>
        <v>5049956.3133333325</v>
      </c>
      <c r="BUL30" s="33">
        <f t="shared" si="19"/>
        <v>5450505.0679166652</v>
      </c>
      <c r="BUM30" s="33" t="e">
        <f t="shared" si="19"/>
        <v>#REF!</v>
      </c>
      <c r="BUN30" s="33" t="e">
        <f t="shared" si="19"/>
        <v>#REF!</v>
      </c>
      <c r="BUO30" s="33" t="e">
        <f t="shared" si="19"/>
        <v>#REF!</v>
      </c>
      <c r="BUP30" s="33" t="e">
        <f t="shared" si="19"/>
        <v>#REF!</v>
      </c>
      <c r="BUQ30" s="33" t="e">
        <f t="shared" si="19"/>
        <v>#REF!</v>
      </c>
      <c r="BUR30" s="33" t="e">
        <f t="shared" si="19"/>
        <v>#REF!</v>
      </c>
      <c r="BUS30" s="33" t="e">
        <f t="shared" si="19"/>
        <v>#REF!</v>
      </c>
    </row>
    <row r="31" spans="1901:1917" x14ac:dyDescent="0.3">
      <c r="BUC31" s="18" t="s">
        <v>264</v>
      </c>
      <c r="BUD31" s="18" t="str">
        <f t="shared" ca="1" si="0"/>
        <v>#REF</v>
      </c>
      <c r="BUE31" s="18" t="e">
        <f ca="1" xml:space="preserve"> _xlfn.SHEET(#REF!)</f>
        <v>#REF!</v>
      </c>
      <c r="BUG31" s="18" t="e">
        <f>#REF!</f>
        <v>#REF!</v>
      </c>
      <c r="BUH31" s="34" t="e">
        <f t="shared" ref="BUH31:BUS31" si="20">IF(BUH4-BUH3=0,"",BUH4-BUH3)</f>
        <v>#REF!</v>
      </c>
      <c r="BUI31" s="34" t="e">
        <f t="shared" si="20"/>
        <v>#REF!</v>
      </c>
      <c r="BUJ31" s="34">
        <f t="shared" si="20"/>
        <v>-741250.70000000019</v>
      </c>
      <c r="BUK31" s="34">
        <f t="shared" si="20"/>
        <v>-777114.66333333217</v>
      </c>
      <c r="BUL31" s="34">
        <f t="shared" si="20"/>
        <v>-1240663.4179166649</v>
      </c>
      <c r="BUM31" s="34" t="e">
        <f t="shared" si="20"/>
        <v>#REF!</v>
      </c>
      <c r="BUN31" s="34" t="e">
        <f t="shared" si="20"/>
        <v>#REF!</v>
      </c>
      <c r="BUO31" s="34" t="e">
        <f t="shared" si="20"/>
        <v>#REF!</v>
      </c>
      <c r="BUP31" s="34" t="e">
        <f t="shared" si="20"/>
        <v>#REF!</v>
      </c>
      <c r="BUQ31" s="34" t="e">
        <f t="shared" si="20"/>
        <v>#REF!</v>
      </c>
      <c r="BUR31" s="34" t="e">
        <f t="shared" si="20"/>
        <v>#REF!</v>
      </c>
      <c r="BUS31" s="34" t="e">
        <f t="shared" si="20"/>
        <v>#REF!</v>
      </c>
    </row>
    <row r="32" spans="1901:1917" x14ac:dyDescent="0.3">
      <c r="BUC32" s="18" t="s">
        <v>270</v>
      </c>
      <c r="BUD32" s="18" t="str">
        <f ca="1">SUBSTITUTE(MID(_xlfn.FORMULATEXT(BUG32),2,FIND("!",_xlfn.FORMULATEXT(BUG32),1)-2), "'","")</f>
        <v>#REF</v>
      </c>
      <c r="BUE32" s="18" t="e">
        <f ca="1" xml:space="preserve"> _xlfn.SHEET(#REF!)</f>
        <v>#REF!</v>
      </c>
      <c r="BUG32" s="18" t="e">
        <f>#REF!</f>
        <v>#REF!</v>
      </c>
    </row>
    <row r="33" spans="1901:1917" x14ac:dyDescent="0.3">
      <c r="BUC33" s="18" t="s">
        <v>270</v>
      </c>
      <c r="BUD33" s="18" t="str">
        <f t="shared" ref="BUD33:BUD61" ca="1" si="21">SUBSTITUTE(MID(_xlfn.FORMULATEXT(BUG33),2,FIND("!",_xlfn.FORMULATEXT(BUG33),1)-2), "'","")</f>
        <v>#REF</v>
      </c>
      <c r="BUE33" s="18" t="e">
        <f ca="1" xml:space="preserve"> _xlfn.SHEET(#REF!)</f>
        <v>#REF!</v>
      </c>
      <c r="BUG33" s="18" t="e">
        <f>#REF!</f>
        <v>#REF!</v>
      </c>
      <c r="BUH33" s="35" t="e">
        <f>data!#REF!</f>
        <v>#REF!</v>
      </c>
      <c r="BUI33" s="35" t="e">
        <f>data!#REF!</f>
        <v>#REF!</v>
      </c>
      <c r="BUJ33" s="35">
        <f>data!G$7</f>
        <v>4436387.0750000002</v>
      </c>
      <c r="BUK33" s="35">
        <f>data!H$7</f>
        <v>5049956.3133333325</v>
      </c>
      <c r="BUL33" s="35">
        <f>data!I$7</f>
        <v>5450505.0679166652</v>
      </c>
      <c r="BUM33" s="35" t="e">
        <f>data!#REF!</f>
        <v>#REF!</v>
      </c>
      <c r="BUN33" s="35" t="e">
        <f>data!#REF!</f>
        <v>#REF!</v>
      </c>
      <c r="BUO33" s="35" t="e">
        <f>data!#REF!</f>
        <v>#REF!</v>
      </c>
      <c r="BUP33" s="35" t="e">
        <f>data!#REF!</f>
        <v>#REF!</v>
      </c>
      <c r="BUQ33" s="35" t="e">
        <f>data!#REF!</f>
        <v>#REF!</v>
      </c>
      <c r="BUR33" s="35" t="e">
        <f>data!#REF!</f>
        <v>#REF!</v>
      </c>
      <c r="BUS33" s="35" t="e">
        <f>data!#REF!</f>
        <v>#REF!</v>
      </c>
    </row>
    <row r="34" spans="1901:1917" x14ac:dyDescent="0.3">
      <c r="BUC34" s="18" t="s">
        <v>270</v>
      </c>
      <c r="BUD34" s="18" t="str">
        <f t="shared" ca="1" si="21"/>
        <v>#REF</v>
      </c>
      <c r="BUE34" s="18" t="e">
        <f ca="1" xml:space="preserve"> _xlfn.SHEET(#REF!)</f>
        <v>#REF!</v>
      </c>
      <c r="BUG34" s="18" t="e">
        <f>#REF!</f>
        <v>#REF!</v>
      </c>
      <c r="BUH34" s="35" t="e">
        <f>data!#REF!</f>
        <v>#REF!</v>
      </c>
      <c r="BUI34" s="35" t="e">
        <f>data!#REF!</f>
        <v>#REF!</v>
      </c>
      <c r="BUJ34" s="35">
        <f>data!G$15</f>
        <v>3695136.375</v>
      </c>
      <c r="BUK34" s="35">
        <f>data!H$15</f>
        <v>4272841.6500000004</v>
      </c>
      <c r="BUL34" s="35">
        <f>data!I$15</f>
        <v>4209841.6500000004</v>
      </c>
      <c r="BUM34" s="35" t="e">
        <f>data!#REF!</f>
        <v>#REF!</v>
      </c>
      <c r="BUN34" s="35" t="e">
        <f>data!#REF!</f>
        <v>#REF!</v>
      </c>
      <c r="BUO34" s="35" t="e">
        <f>data!#REF!</f>
        <v>#REF!</v>
      </c>
      <c r="BUP34" s="35" t="e">
        <f>data!#REF!</f>
        <v>#REF!</v>
      </c>
      <c r="BUQ34" s="35" t="e">
        <f>data!#REF!</f>
        <v>#REF!</v>
      </c>
      <c r="BUR34" s="35" t="e">
        <f>data!#REF!</f>
        <v>#REF!</v>
      </c>
      <c r="BUS34" s="35" t="e">
        <f>data!#REF!</f>
        <v>#REF!</v>
      </c>
    </row>
    <row r="35" spans="1901:1917" x14ac:dyDescent="0.3">
      <c r="BUC35" s="18" t="s">
        <v>270</v>
      </c>
      <c r="BUD35" s="18" t="str">
        <f t="shared" ca="1" si="21"/>
        <v>#REF</v>
      </c>
      <c r="BUE35" s="18" t="e">
        <f ca="1" xml:space="preserve"> _xlfn.SHEET(#REF!)</f>
        <v>#REF!</v>
      </c>
      <c r="BUG35" s="18" t="e">
        <f>#REF!</f>
        <v>#REF!</v>
      </c>
      <c r="BUH35" s="22" t="s">
        <v>265</v>
      </c>
    </row>
    <row r="36" spans="1901:1917" x14ac:dyDescent="0.3">
      <c r="BUC36" s="18" t="s">
        <v>270</v>
      </c>
      <c r="BUD36" s="18" t="str">
        <f t="shared" ca="1" si="21"/>
        <v>#REF</v>
      </c>
      <c r="BUE36" s="18" t="e">
        <f ca="1" xml:space="preserve"> _xlfn.SHEET(#REF!)</f>
        <v>#REF!</v>
      </c>
      <c r="BUG36" s="18" t="e">
        <f>#REF!</f>
        <v>#REF!</v>
      </c>
      <c r="BUH36" s="23" t="s">
        <v>83</v>
      </c>
      <c r="BUI36" s="23" t="s">
        <v>83</v>
      </c>
      <c r="BUJ36" s="23" t="s">
        <v>83</v>
      </c>
      <c r="BUK36" s="23" t="s">
        <v>83</v>
      </c>
      <c r="BUL36" s="23" t="s">
        <v>83</v>
      </c>
      <c r="BUM36" s="23" t="s">
        <v>83</v>
      </c>
      <c r="BUN36" s="23" t="s">
        <v>83</v>
      </c>
      <c r="BUO36" s="23" t="s">
        <v>83</v>
      </c>
      <c r="BUP36" s="23" t="s">
        <v>83</v>
      </c>
      <c r="BUQ36" s="23" t="s">
        <v>83</v>
      </c>
      <c r="BUR36" s="23" t="s">
        <v>83</v>
      </c>
      <c r="BUS36" s="23" t="s">
        <v>83</v>
      </c>
    </row>
    <row r="37" spans="1901:1917" x14ac:dyDescent="0.3">
      <c r="BUC37" s="18" t="s">
        <v>270</v>
      </c>
      <c r="BUD37" s="18" t="str">
        <f t="shared" ca="1" si="21"/>
        <v>#REF</v>
      </c>
      <c r="BUE37" s="18" t="e">
        <f ca="1" xml:space="preserve"> _xlfn.SHEET(#REF!)</f>
        <v>#REF!</v>
      </c>
      <c r="BUG37" s="18" t="e">
        <f>#REF!</f>
        <v>#REF!</v>
      </c>
      <c r="BUH37" s="23" t="str">
        <f>CONCATENATE(BUH36," ",BUH38)</f>
        <v>Green 1</v>
      </c>
      <c r="BUI37" s="23" t="str">
        <f t="shared" ref="BUI37:BUS37" si="22">CONCATENATE(BUI36," ",BUI38)</f>
        <v>Green 2</v>
      </c>
      <c r="BUJ37" s="23" t="str">
        <f t="shared" si="22"/>
        <v>Green 3</v>
      </c>
      <c r="BUK37" s="23" t="str">
        <f t="shared" si="22"/>
        <v>Green 4</v>
      </c>
      <c r="BUL37" s="23" t="str">
        <f t="shared" si="22"/>
        <v>Green 5</v>
      </c>
      <c r="BUM37" s="23" t="str">
        <f t="shared" si="22"/>
        <v>Green 6</v>
      </c>
      <c r="BUN37" s="23" t="str">
        <f t="shared" si="22"/>
        <v>Green 7</v>
      </c>
      <c r="BUO37" s="23" t="str">
        <f t="shared" si="22"/>
        <v>Green 8</v>
      </c>
      <c r="BUP37" s="23" t="str">
        <f t="shared" si="22"/>
        <v>Green 9</v>
      </c>
      <c r="BUQ37" s="23" t="str">
        <f t="shared" si="22"/>
        <v>Green 10</v>
      </c>
      <c r="BUR37" s="23" t="str">
        <f t="shared" si="22"/>
        <v>Green 11</v>
      </c>
      <c r="BUS37" s="23" t="str">
        <f t="shared" si="22"/>
        <v>Green 12</v>
      </c>
    </row>
    <row r="38" spans="1901:1917" x14ac:dyDescent="0.3">
      <c r="BUC38" s="18" t="s">
        <v>270</v>
      </c>
      <c r="BUD38" s="18" t="str">
        <f t="shared" ca="1" si="21"/>
        <v>#REF</v>
      </c>
      <c r="BUE38" s="18" t="e">
        <f ca="1" xml:space="preserve"> _xlfn.SHEET(#REF!)</f>
        <v>#REF!</v>
      </c>
      <c r="BUG38" s="18" t="e">
        <f>#REF!</f>
        <v>#REF!</v>
      </c>
      <c r="BUH38" s="24">
        <v>1</v>
      </c>
      <c r="BUI38" s="24">
        <f t="shared" ref="BUI38:BUS38" si="23">BUH38+1</f>
        <v>2</v>
      </c>
      <c r="BUJ38" s="24">
        <f t="shared" si="23"/>
        <v>3</v>
      </c>
      <c r="BUK38" s="24">
        <f t="shared" si="23"/>
        <v>4</v>
      </c>
      <c r="BUL38" s="24">
        <f t="shared" si="23"/>
        <v>5</v>
      </c>
      <c r="BUM38" s="24">
        <f t="shared" si="23"/>
        <v>6</v>
      </c>
      <c r="BUN38" s="24">
        <f t="shared" si="23"/>
        <v>7</v>
      </c>
      <c r="BUO38" s="24">
        <f t="shared" si="23"/>
        <v>8</v>
      </c>
      <c r="BUP38" s="24">
        <f t="shared" si="23"/>
        <v>9</v>
      </c>
      <c r="BUQ38" s="24">
        <f t="shared" si="23"/>
        <v>10</v>
      </c>
      <c r="BUR38" s="24">
        <f t="shared" si="23"/>
        <v>11</v>
      </c>
      <c r="BUS38" s="24">
        <f t="shared" si="23"/>
        <v>12</v>
      </c>
    </row>
    <row r="39" spans="1901:1917" x14ac:dyDescent="0.3">
      <c r="BUC39" s="18" t="s">
        <v>270</v>
      </c>
      <c r="BUD39" s="18" t="str">
        <f t="shared" ca="1" si="21"/>
        <v>#REF</v>
      </c>
      <c r="BUE39" s="18" t="e">
        <f ca="1" xml:space="preserve"> _xlfn.SHEET(#REF!)</f>
        <v>#REF!</v>
      </c>
      <c r="BUG39" s="18" t="e">
        <f>#REF!</f>
        <v>#REF!</v>
      </c>
      <c r="BUH39" s="24">
        <f>BUH38</f>
        <v>1</v>
      </c>
      <c r="BUI39" s="24">
        <f t="shared" ref="BUI39:BUS39" si="24">BUI38</f>
        <v>2</v>
      </c>
      <c r="BUJ39" s="24">
        <f t="shared" si="24"/>
        <v>3</v>
      </c>
      <c r="BUK39" s="24">
        <f t="shared" si="24"/>
        <v>4</v>
      </c>
      <c r="BUL39" s="24">
        <f t="shared" si="24"/>
        <v>5</v>
      </c>
      <c r="BUM39" s="24">
        <f t="shared" si="24"/>
        <v>6</v>
      </c>
      <c r="BUN39" s="24">
        <f t="shared" si="24"/>
        <v>7</v>
      </c>
      <c r="BUO39" s="24">
        <f t="shared" si="24"/>
        <v>8</v>
      </c>
      <c r="BUP39" s="24">
        <f t="shared" si="24"/>
        <v>9</v>
      </c>
      <c r="BUQ39" s="24">
        <f t="shared" si="24"/>
        <v>10</v>
      </c>
      <c r="BUR39" s="24">
        <f t="shared" si="24"/>
        <v>11</v>
      </c>
      <c r="BUS39" s="24">
        <f t="shared" si="24"/>
        <v>12</v>
      </c>
    </row>
    <row r="40" spans="1901:1917" x14ac:dyDescent="0.3">
      <c r="BUC40" s="18" t="s">
        <v>270</v>
      </c>
      <c r="BUD40" s="18" t="str">
        <f t="shared" ca="1" si="21"/>
        <v>#REF</v>
      </c>
      <c r="BUE40" s="18" t="e">
        <f ca="1" xml:space="preserve"> _xlfn.SHEET(#REF!)</f>
        <v>#REF!</v>
      </c>
      <c r="BUG40" s="18" t="e">
        <f>#REF!</f>
        <v>#REF!</v>
      </c>
      <c r="BUH40" s="24" t="e">
        <f t="shared" ref="BUH40:BUS40" si="25">IF(BUH34&gt;BUH33,BUH33,0)</f>
        <v>#REF!</v>
      </c>
      <c r="BUI40" s="24" t="e">
        <f t="shared" si="25"/>
        <v>#REF!</v>
      </c>
      <c r="BUJ40" s="24">
        <f t="shared" si="25"/>
        <v>0</v>
      </c>
      <c r="BUK40" s="24">
        <f t="shared" si="25"/>
        <v>0</v>
      </c>
      <c r="BUL40" s="24">
        <f t="shared" si="25"/>
        <v>0</v>
      </c>
      <c r="BUM40" s="24" t="e">
        <f t="shared" si="25"/>
        <v>#REF!</v>
      </c>
      <c r="BUN40" s="24" t="e">
        <f t="shared" si="25"/>
        <v>#REF!</v>
      </c>
      <c r="BUO40" s="24" t="e">
        <f t="shared" si="25"/>
        <v>#REF!</v>
      </c>
      <c r="BUP40" s="24" t="e">
        <f t="shared" si="25"/>
        <v>#REF!</v>
      </c>
      <c r="BUQ40" s="24" t="e">
        <f t="shared" si="25"/>
        <v>#REF!</v>
      </c>
      <c r="BUR40" s="24" t="e">
        <f t="shared" si="25"/>
        <v>#REF!</v>
      </c>
      <c r="BUS40" s="24" t="e">
        <f t="shared" si="25"/>
        <v>#REF!</v>
      </c>
    </row>
    <row r="41" spans="1901:1917" x14ac:dyDescent="0.3">
      <c r="BUC41" s="18" t="s">
        <v>270</v>
      </c>
      <c r="BUD41" s="18" t="str">
        <f t="shared" ca="1" si="21"/>
        <v>#REF</v>
      </c>
      <c r="BUE41" s="18" t="e">
        <f ca="1" xml:space="preserve"> _xlfn.SHEET(#REF!)</f>
        <v>#REF!</v>
      </c>
      <c r="BUG41" s="18" t="e">
        <f>#REF!</f>
        <v>#REF!</v>
      </c>
      <c r="BUH41" s="24" t="e">
        <f t="shared" ref="BUH41:BUS41" si="26">IF(BUH34&gt;BUH33,BUH34,0)</f>
        <v>#REF!</v>
      </c>
      <c r="BUI41" s="24" t="e">
        <f t="shared" si="26"/>
        <v>#REF!</v>
      </c>
      <c r="BUJ41" s="24">
        <f t="shared" si="26"/>
        <v>0</v>
      </c>
      <c r="BUK41" s="24">
        <f t="shared" si="26"/>
        <v>0</v>
      </c>
      <c r="BUL41" s="24">
        <f t="shared" si="26"/>
        <v>0</v>
      </c>
      <c r="BUM41" s="24" t="e">
        <f t="shared" si="26"/>
        <v>#REF!</v>
      </c>
      <c r="BUN41" s="24" t="e">
        <f t="shared" si="26"/>
        <v>#REF!</v>
      </c>
      <c r="BUO41" s="24" t="e">
        <f t="shared" si="26"/>
        <v>#REF!</v>
      </c>
      <c r="BUP41" s="24" t="e">
        <f t="shared" si="26"/>
        <v>#REF!</v>
      </c>
      <c r="BUQ41" s="24" t="e">
        <f t="shared" si="26"/>
        <v>#REF!</v>
      </c>
      <c r="BUR41" s="24" t="e">
        <f t="shared" si="26"/>
        <v>#REF!</v>
      </c>
      <c r="BUS41" s="24" t="e">
        <f t="shared" si="26"/>
        <v>#REF!</v>
      </c>
    </row>
    <row r="42" spans="1901:1917" x14ac:dyDescent="0.3">
      <c r="BUC42" s="18" t="s">
        <v>270</v>
      </c>
      <c r="BUD42" s="18" t="str">
        <f t="shared" ca="1" si="21"/>
        <v>#REF</v>
      </c>
      <c r="BUE42" s="18" t="e">
        <f ca="1" xml:space="preserve"> _xlfn.SHEET(#REF!)</f>
        <v>#REF!</v>
      </c>
      <c r="BUG42" s="18" t="e">
        <f>#REF!</f>
        <v>#REF!</v>
      </c>
      <c r="BUH42" s="25" t="s">
        <v>266</v>
      </c>
      <c r="BUI42" s="25" t="s">
        <v>266</v>
      </c>
      <c r="BUJ42" s="25" t="s">
        <v>266</v>
      </c>
      <c r="BUK42" s="25" t="s">
        <v>266</v>
      </c>
      <c r="BUL42" s="25" t="s">
        <v>266</v>
      </c>
      <c r="BUM42" s="25" t="s">
        <v>266</v>
      </c>
      <c r="BUN42" s="25" t="s">
        <v>266</v>
      </c>
      <c r="BUO42" s="25" t="s">
        <v>266</v>
      </c>
      <c r="BUP42" s="25" t="s">
        <v>266</v>
      </c>
      <c r="BUQ42" s="25" t="s">
        <v>266</v>
      </c>
      <c r="BUR42" s="25" t="s">
        <v>266</v>
      </c>
      <c r="BUS42" s="25" t="s">
        <v>266</v>
      </c>
    </row>
    <row r="43" spans="1901:1917" x14ac:dyDescent="0.3">
      <c r="BUC43" s="18" t="s">
        <v>270</v>
      </c>
      <c r="BUD43" s="18" t="str">
        <f t="shared" ca="1" si="21"/>
        <v>#REF</v>
      </c>
      <c r="BUE43" s="18" t="e">
        <f ca="1" xml:space="preserve"> _xlfn.SHEET(#REF!)</f>
        <v>#REF!</v>
      </c>
      <c r="BUG43" s="18" t="e">
        <f>#REF!</f>
        <v>#REF!</v>
      </c>
      <c r="BUH43" s="25" t="str">
        <f>CONCATENATE(BUH42," ",BUH44)</f>
        <v>Red 1</v>
      </c>
      <c r="BUI43" s="25" t="str">
        <f t="shared" ref="BUI43:BUS43" si="27">CONCATENATE(BUI42," ",BUI44)</f>
        <v>Red 2</v>
      </c>
      <c r="BUJ43" s="25" t="str">
        <f t="shared" si="27"/>
        <v>Red 3</v>
      </c>
      <c r="BUK43" s="25" t="str">
        <f t="shared" si="27"/>
        <v>Red 4</v>
      </c>
      <c r="BUL43" s="25" t="str">
        <f t="shared" si="27"/>
        <v>Red 5</v>
      </c>
      <c r="BUM43" s="25" t="str">
        <f t="shared" si="27"/>
        <v>Red 6</v>
      </c>
      <c r="BUN43" s="25" t="str">
        <f t="shared" si="27"/>
        <v>Red 7</v>
      </c>
      <c r="BUO43" s="25" t="str">
        <f t="shared" si="27"/>
        <v>Red 8</v>
      </c>
      <c r="BUP43" s="25" t="str">
        <f t="shared" si="27"/>
        <v>Red 9</v>
      </c>
      <c r="BUQ43" s="25" t="str">
        <f t="shared" si="27"/>
        <v>Red 10</v>
      </c>
      <c r="BUR43" s="25" t="str">
        <f t="shared" si="27"/>
        <v>Red 11</v>
      </c>
      <c r="BUS43" s="25" t="str">
        <f t="shared" si="27"/>
        <v>Red 12</v>
      </c>
    </row>
    <row r="44" spans="1901:1917" x14ac:dyDescent="0.3">
      <c r="BUC44" s="18" t="s">
        <v>270</v>
      </c>
      <c r="BUD44" s="18" t="str">
        <f t="shared" ca="1" si="21"/>
        <v>#REF</v>
      </c>
      <c r="BUE44" s="18" t="e">
        <f ca="1" xml:space="preserve"> _xlfn.SHEET(#REF!)</f>
        <v>#REF!</v>
      </c>
      <c r="BUG44" s="18" t="e">
        <f>#REF!</f>
        <v>#REF!</v>
      </c>
      <c r="BUH44" s="26">
        <f>BUH38</f>
        <v>1</v>
      </c>
      <c r="BUI44" s="26">
        <f t="shared" ref="BUI44:BUS44" si="28">BUI38</f>
        <v>2</v>
      </c>
      <c r="BUJ44" s="26">
        <f t="shared" si="28"/>
        <v>3</v>
      </c>
      <c r="BUK44" s="26">
        <f t="shared" si="28"/>
        <v>4</v>
      </c>
      <c r="BUL44" s="26">
        <f t="shared" si="28"/>
        <v>5</v>
      </c>
      <c r="BUM44" s="26">
        <f t="shared" si="28"/>
        <v>6</v>
      </c>
      <c r="BUN44" s="26">
        <f t="shared" si="28"/>
        <v>7</v>
      </c>
      <c r="BUO44" s="26">
        <f t="shared" si="28"/>
        <v>8</v>
      </c>
      <c r="BUP44" s="26">
        <f t="shared" si="28"/>
        <v>9</v>
      </c>
      <c r="BUQ44" s="26">
        <f t="shared" si="28"/>
        <v>10</v>
      </c>
      <c r="BUR44" s="26">
        <f t="shared" si="28"/>
        <v>11</v>
      </c>
      <c r="BUS44" s="26">
        <f t="shared" si="28"/>
        <v>12</v>
      </c>
    </row>
    <row r="45" spans="1901:1917" x14ac:dyDescent="0.3">
      <c r="BUC45" s="18" t="s">
        <v>270</v>
      </c>
      <c r="BUD45" s="18" t="str">
        <f t="shared" ca="1" si="21"/>
        <v>#REF</v>
      </c>
      <c r="BUE45" s="18" t="e">
        <f ca="1" xml:space="preserve"> _xlfn.SHEET(#REF!)</f>
        <v>#REF!</v>
      </c>
      <c r="BUG45" s="18" t="e">
        <f>#REF!</f>
        <v>#REF!</v>
      </c>
      <c r="BUH45" s="26">
        <f>BUH38</f>
        <v>1</v>
      </c>
      <c r="BUI45" s="26">
        <f t="shared" ref="BUI45:BUS45" si="29">BUI38</f>
        <v>2</v>
      </c>
      <c r="BUJ45" s="26">
        <f t="shared" si="29"/>
        <v>3</v>
      </c>
      <c r="BUK45" s="26">
        <f t="shared" si="29"/>
        <v>4</v>
      </c>
      <c r="BUL45" s="26">
        <f t="shared" si="29"/>
        <v>5</v>
      </c>
      <c r="BUM45" s="26">
        <f t="shared" si="29"/>
        <v>6</v>
      </c>
      <c r="BUN45" s="26">
        <f t="shared" si="29"/>
        <v>7</v>
      </c>
      <c r="BUO45" s="26">
        <f t="shared" si="29"/>
        <v>8</v>
      </c>
      <c r="BUP45" s="26">
        <f t="shared" si="29"/>
        <v>9</v>
      </c>
      <c r="BUQ45" s="26">
        <f t="shared" si="29"/>
        <v>10</v>
      </c>
      <c r="BUR45" s="26">
        <f t="shared" si="29"/>
        <v>11</v>
      </c>
      <c r="BUS45" s="26">
        <f t="shared" si="29"/>
        <v>12</v>
      </c>
    </row>
    <row r="46" spans="1901:1917" x14ac:dyDescent="0.3">
      <c r="BUC46" s="18" t="s">
        <v>270</v>
      </c>
      <c r="BUD46" s="18" t="str">
        <f t="shared" ca="1" si="21"/>
        <v>#REF</v>
      </c>
      <c r="BUE46" s="18" t="e">
        <f ca="1" xml:space="preserve"> _xlfn.SHEET(#REF!)</f>
        <v>#REF!</v>
      </c>
      <c r="BUG46" s="18" t="e">
        <f>#REF!</f>
        <v>#REF!</v>
      </c>
      <c r="BUH46" s="26" t="e">
        <f t="shared" ref="BUH46:BUS46" si="30">IF(BUH33&gt;BUH34,BUH33,0)</f>
        <v>#REF!</v>
      </c>
      <c r="BUI46" s="26" t="e">
        <f t="shared" si="30"/>
        <v>#REF!</v>
      </c>
      <c r="BUJ46" s="176">
        <f t="shared" si="30"/>
        <v>4436387.0750000002</v>
      </c>
      <c r="BUK46" s="176">
        <f t="shared" si="30"/>
        <v>5049956.3133333325</v>
      </c>
      <c r="BUL46" s="176">
        <f t="shared" si="30"/>
        <v>5450505.0679166652</v>
      </c>
      <c r="BUM46" s="26" t="e">
        <f t="shared" si="30"/>
        <v>#REF!</v>
      </c>
      <c r="BUN46" s="26" t="e">
        <f t="shared" si="30"/>
        <v>#REF!</v>
      </c>
      <c r="BUO46" s="26" t="e">
        <f t="shared" si="30"/>
        <v>#REF!</v>
      </c>
      <c r="BUP46" s="26" t="e">
        <f t="shared" si="30"/>
        <v>#REF!</v>
      </c>
      <c r="BUQ46" s="26" t="e">
        <f t="shared" si="30"/>
        <v>#REF!</v>
      </c>
      <c r="BUR46" s="26" t="e">
        <f t="shared" si="30"/>
        <v>#REF!</v>
      </c>
      <c r="BUS46" s="26" t="e">
        <f t="shared" si="30"/>
        <v>#REF!</v>
      </c>
    </row>
    <row r="47" spans="1901:1917" x14ac:dyDescent="0.3">
      <c r="BUC47" s="18" t="s">
        <v>270</v>
      </c>
      <c r="BUD47" s="18" t="str">
        <f t="shared" ca="1" si="21"/>
        <v>#REF</v>
      </c>
      <c r="BUE47" s="18" t="e">
        <f ca="1" xml:space="preserve"> _xlfn.SHEET(#REF!)</f>
        <v>#REF!</v>
      </c>
      <c r="BUG47" s="18" t="e">
        <f>#REF!</f>
        <v>#REF!</v>
      </c>
      <c r="BUH47" s="26" t="e">
        <f t="shared" ref="BUH47:BUS47" si="31">IF(BUH33&gt;BUH34,BUH34,0)</f>
        <v>#REF!</v>
      </c>
      <c r="BUI47" s="26" t="e">
        <f t="shared" si="31"/>
        <v>#REF!</v>
      </c>
      <c r="BUJ47" s="176">
        <f>IF(BUJ33&gt;BUJ34,BUJ34,0)</f>
        <v>3695136.375</v>
      </c>
      <c r="BUK47" s="176">
        <f t="shared" si="31"/>
        <v>4272841.6500000004</v>
      </c>
      <c r="BUL47" s="176">
        <f t="shared" si="31"/>
        <v>4209841.6500000004</v>
      </c>
      <c r="BUM47" s="26" t="e">
        <f t="shared" si="31"/>
        <v>#REF!</v>
      </c>
      <c r="BUN47" s="26" t="e">
        <f t="shared" si="31"/>
        <v>#REF!</v>
      </c>
      <c r="BUO47" s="26" t="e">
        <f t="shared" si="31"/>
        <v>#REF!</v>
      </c>
      <c r="BUP47" s="26" t="e">
        <f t="shared" si="31"/>
        <v>#REF!</v>
      </c>
      <c r="BUQ47" s="26" t="e">
        <f t="shared" si="31"/>
        <v>#REF!</v>
      </c>
      <c r="BUR47" s="26" t="e">
        <f t="shared" si="31"/>
        <v>#REF!</v>
      </c>
      <c r="BUS47" s="26" t="e">
        <f t="shared" si="31"/>
        <v>#REF!</v>
      </c>
    </row>
    <row r="48" spans="1901:1917" x14ac:dyDescent="0.3">
      <c r="BUC48" s="18" t="s">
        <v>270</v>
      </c>
      <c r="BUD48" s="18" t="str">
        <f t="shared" ca="1" si="21"/>
        <v>#REF</v>
      </c>
      <c r="BUE48" s="18" t="e">
        <f ca="1" xml:space="preserve"> _xlfn.SHEET(#REF!)</f>
        <v>#REF!</v>
      </c>
      <c r="BUG48" s="18" t="e">
        <f>#REF!</f>
        <v>#REF!</v>
      </c>
      <c r="BUH48" s="27" t="s">
        <v>267</v>
      </c>
      <c r="BUI48" s="27" t="s">
        <v>267</v>
      </c>
      <c r="BUJ48" s="27" t="s">
        <v>267</v>
      </c>
      <c r="BUK48" s="27" t="s">
        <v>267</v>
      </c>
      <c r="BUL48" s="27" t="s">
        <v>267</v>
      </c>
      <c r="BUM48" s="27" t="s">
        <v>267</v>
      </c>
      <c r="BUN48" s="27" t="s">
        <v>267</v>
      </c>
      <c r="BUO48" s="27" t="s">
        <v>267</v>
      </c>
      <c r="BUP48" s="27" t="s">
        <v>267</v>
      </c>
      <c r="BUQ48" s="27" t="s">
        <v>267</v>
      </c>
      <c r="BUR48" s="27" t="s">
        <v>267</v>
      </c>
      <c r="BUS48" s="27" t="s">
        <v>267</v>
      </c>
    </row>
    <row r="49" spans="1901:1917" x14ac:dyDescent="0.3">
      <c r="BUC49" s="18" t="s">
        <v>270</v>
      </c>
      <c r="BUD49" s="18" t="str">
        <f t="shared" ca="1" si="21"/>
        <v>#REF</v>
      </c>
      <c r="BUE49" s="18" t="e">
        <f ca="1" xml:space="preserve"> _xlfn.SHEET(#REF!)</f>
        <v>#REF!</v>
      </c>
      <c r="BUG49" s="18" t="e">
        <f>#REF!</f>
        <v>#REF!</v>
      </c>
      <c r="BUH49" s="27" t="str">
        <f>CONCATENATE(BUH48," ",BUH38)</f>
        <v>Actual 1</v>
      </c>
      <c r="BUI49" s="27" t="str">
        <f t="shared" ref="BUI49:BUS49" si="32">CONCATENATE(BUI48," ",BUI38)</f>
        <v>Actual 2</v>
      </c>
      <c r="BUJ49" s="27" t="str">
        <f t="shared" si="32"/>
        <v>Actual 3</v>
      </c>
      <c r="BUK49" s="27" t="str">
        <f t="shared" si="32"/>
        <v>Actual 4</v>
      </c>
      <c r="BUL49" s="27" t="str">
        <f t="shared" si="32"/>
        <v>Actual 5</v>
      </c>
      <c r="BUM49" s="27" t="str">
        <f t="shared" si="32"/>
        <v>Actual 6</v>
      </c>
      <c r="BUN49" s="27" t="str">
        <f t="shared" si="32"/>
        <v>Actual 7</v>
      </c>
      <c r="BUO49" s="27" t="str">
        <f t="shared" si="32"/>
        <v>Actual 8</v>
      </c>
      <c r="BUP49" s="27" t="str">
        <f t="shared" si="32"/>
        <v>Actual 9</v>
      </c>
      <c r="BUQ49" s="27" t="str">
        <f t="shared" si="32"/>
        <v>Actual 10</v>
      </c>
      <c r="BUR49" s="27" t="str">
        <f t="shared" si="32"/>
        <v>Actual 11</v>
      </c>
      <c r="BUS49" s="27" t="str">
        <f t="shared" si="32"/>
        <v>Actual 12</v>
      </c>
    </row>
    <row r="50" spans="1901:1917" x14ac:dyDescent="0.3">
      <c r="BUC50" s="18" t="s">
        <v>270</v>
      </c>
      <c r="BUD50" s="18" t="str">
        <f t="shared" ca="1" si="21"/>
        <v>#REF</v>
      </c>
      <c r="BUE50" s="18" t="e">
        <f ca="1" xml:space="preserve"> _xlfn.SHEET(#REF!)</f>
        <v>#REF!</v>
      </c>
      <c r="BUG50" s="18" t="e">
        <f>#REF!</f>
        <v>#REF!</v>
      </c>
      <c r="BUH50" s="28">
        <f>BUH38-0.25</f>
        <v>0.75</v>
      </c>
      <c r="BUI50" s="28">
        <f t="shared" ref="BUI50:BUS50" si="33">BUI38-0.25</f>
        <v>1.75</v>
      </c>
      <c r="BUJ50" s="28">
        <f t="shared" si="33"/>
        <v>2.75</v>
      </c>
      <c r="BUK50" s="28">
        <f t="shared" si="33"/>
        <v>3.75</v>
      </c>
      <c r="BUL50" s="28">
        <f t="shared" si="33"/>
        <v>4.75</v>
      </c>
      <c r="BUM50" s="28">
        <f t="shared" si="33"/>
        <v>5.75</v>
      </c>
      <c r="BUN50" s="28">
        <f t="shared" si="33"/>
        <v>6.75</v>
      </c>
      <c r="BUO50" s="28">
        <f t="shared" si="33"/>
        <v>7.75</v>
      </c>
      <c r="BUP50" s="28">
        <f t="shared" si="33"/>
        <v>8.75</v>
      </c>
      <c r="BUQ50" s="28">
        <f t="shared" si="33"/>
        <v>9.75</v>
      </c>
      <c r="BUR50" s="28">
        <f t="shared" si="33"/>
        <v>10.75</v>
      </c>
      <c r="BUS50" s="28">
        <f t="shared" si="33"/>
        <v>11.75</v>
      </c>
    </row>
    <row r="51" spans="1901:1917" x14ac:dyDescent="0.3">
      <c r="BUC51" s="18" t="s">
        <v>270</v>
      </c>
      <c r="BUD51" s="18" t="str">
        <f t="shared" ca="1" si="21"/>
        <v>#REF</v>
      </c>
      <c r="BUE51" s="18" t="e">
        <f ca="1" xml:space="preserve"> _xlfn.SHEET(#REF!)</f>
        <v>#REF!</v>
      </c>
      <c r="BUG51" s="18" t="e">
        <f>#REF!</f>
        <v>#REF!</v>
      </c>
      <c r="BUH51" s="28">
        <f>BUH38-0.25</f>
        <v>0.75</v>
      </c>
      <c r="BUI51" s="28">
        <f t="shared" ref="BUI51:BUS51" si="34">BUI38-0.25</f>
        <v>1.75</v>
      </c>
      <c r="BUJ51" s="28">
        <f t="shared" si="34"/>
        <v>2.75</v>
      </c>
      <c r="BUK51" s="28">
        <f t="shared" si="34"/>
        <v>3.75</v>
      </c>
      <c r="BUL51" s="28">
        <f t="shared" si="34"/>
        <v>4.75</v>
      </c>
      <c r="BUM51" s="28">
        <f t="shared" si="34"/>
        <v>5.75</v>
      </c>
      <c r="BUN51" s="28">
        <f t="shared" si="34"/>
        <v>6.75</v>
      </c>
      <c r="BUO51" s="28">
        <f t="shared" si="34"/>
        <v>7.75</v>
      </c>
      <c r="BUP51" s="28">
        <f t="shared" si="34"/>
        <v>8.75</v>
      </c>
      <c r="BUQ51" s="28">
        <f t="shared" si="34"/>
        <v>9.75</v>
      </c>
      <c r="BUR51" s="28">
        <f t="shared" si="34"/>
        <v>10.75</v>
      </c>
      <c r="BUS51" s="28">
        <f t="shared" si="34"/>
        <v>11.75</v>
      </c>
    </row>
    <row r="52" spans="1901:1917" x14ac:dyDescent="0.3">
      <c r="BUC52" s="18" t="s">
        <v>270</v>
      </c>
      <c r="BUD52" s="18" t="str">
        <f t="shared" ca="1" si="21"/>
        <v>#REF</v>
      </c>
      <c r="BUE52" s="18" t="e">
        <f ca="1" xml:space="preserve"> _xlfn.SHEET(#REF!)</f>
        <v>#REF!</v>
      </c>
      <c r="BUG52" s="18" t="e">
        <f>#REF!</f>
        <v>#REF!</v>
      </c>
      <c r="BUH52" s="28">
        <v>0</v>
      </c>
      <c r="BUI52" s="28">
        <v>0</v>
      </c>
      <c r="BUJ52" s="28">
        <v>0</v>
      </c>
      <c r="BUK52" s="28">
        <v>0</v>
      </c>
      <c r="BUL52" s="28">
        <v>0</v>
      </c>
      <c r="BUM52" s="28">
        <v>0</v>
      </c>
      <c r="BUN52" s="28">
        <v>0</v>
      </c>
      <c r="BUO52" s="28">
        <v>0</v>
      </c>
      <c r="BUP52" s="28">
        <v>0</v>
      </c>
      <c r="BUQ52" s="28">
        <v>0</v>
      </c>
      <c r="BUR52" s="28">
        <v>0</v>
      </c>
      <c r="BUS52" s="28">
        <v>0</v>
      </c>
    </row>
    <row r="53" spans="1901:1917" x14ac:dyDescent="0.3">
      <c r="BUC53" s="18" t="s">
        <v>270</v>
      </c>
      <c r="BUD53" s="18" t="str">
        <f t="shared" ca="1" si="21"/>
        <v>#REF</v>
      </c>
      <c r="BUE53" s="18" t="e">
        <f ca="1" xml:space="preserve"> _xlfn.SHEET(#REF!)</f>
        <v>#REF!</v>
      </c>
      <c r="BUG53" s="18" t="e">
        <f>#REF!</f>
        <v>#REF!</v>
      </c>
      <c r="BUH53" s="28" t="e">
        <f t="shared" ref="BUH53:BUS53" si="35">IF(BUH34=0,"",BUH34)</f>
        <v>#REF!</v>
      </c>
      <c r="BUI53" s="28" t="e">
        <f t="shared" si="35"/>
        <v>#REF!</v>
      </c>
      <c r="BUJ53" s="175">
        <f t="shared" si="35"/>
        <v>3695136.375</v>
      </c>
      <c r="BUK53" s="175">
        <f t="shared" si="35"/>
        <v>4272841.6500000004</v>
      </c>
      <c r="BUL53" s="175">
        <f t="shared" si="35"/>
        <v>4209841.6500000004</v>
      </c>
      <c r="BUM53" s="28" t="e">
        <f t="shared" si="35"/>
        <v>#REF!</v>
      </c>
      <c r="BUN53" s="28" t="e">
        <f t="shared" si="35"/>
        <v>#REF!</v>
      </c>
      <c r="BUO53" s="28" t="e">
        <f t="shared" si="35"/>
        <v>#REF!</v>
      </c>
      <c r="BUP53" s="28" t="e">
        <f t="shared" si="35"/>
        <v>#REF!</v>
      </c>
      <c r="BUQ53" s="28" t="e">
        <f t="shared" si="35"/>
        <v>#REF!</v>
      </c>
      <c r="BUR53" s="28" t="e">
        <f t="shared" si="35"/>
        <v>#REF!</v>
      </c>
      <c r="BUS53" s="28" t="e">
        <f t="shared" si="35"/>
        <v>#REF!</v>
      </c>
    </row>
    <row r="54" spans="1901:1917" x14ac:dyDescent="0.3">
      <c r="BUC54" s="18" t="s">
        <v>270</v>
      </c>
      <c r="BUD54" s="18" t="str">
        <f t="shared" ca="1" si="21"/>
        <v>#REF</v>
      </c>
      <c r="BUE54" s="18" t="e">
        <f ca="1" xml:space="preserve"> _xlfn.SHEET(#REF!)</f>
        <v>#REF!</v>
      </c>
      <c r="BUG54" s="18" t="e">
        <f>#REF!</f>
        <v>#REF!</v>
      </c>
      <c r="BUH54" s="29" t="s">
        <v>268</v>
      </c>
      <c r="BUI54" s="29" t="s">
        <v>268</v>
      </c>
      <c r="BUJ54" s="29" t="s">
        <v>268</v>
      </c>
      <c r="BUK54" s="29" t="s">
        <v>268</v>
      </c>
      <c r="BUL54" s="29" t="s">
        <v>268</v>
      </c>
      <c r="BUM54" s="29" t="s">
        <v>268</v>
      </c>
      <c r="BUN54" s="29" t="s">
        <v>268</v>
      </c>
      <c r="BUO54" s="29" t="s">
        <v>268</v>
      </c>
      <c r="BUP54" s="29" t="s">
        <v>268</v>
      </c>
      <c r="BUQ54" s="29" t="s">
        <v>268</v>
      </c>
      <c r="BUR54" s="29" t="s">
        <v>268</v>
      </c>
      <c r="BUS54" s="29" t="s">
        <v>268</v>
      </c>
    </row>
    <row r="55" spans="1901:1917" x14ac:dyDescent="0.3">
      <c r="BUC55" s="18" t="s">
        <v>270</v>
      </c>
      <c r="BUD55" s="18" t="str">
        <f t="shared" ca="1" si="21"/>
        <v>#REF</v>
      </c>
      <c r="BUE55" s="18" t="e">
        <f ca="1" xml:space="preserve"> _xlfn.SHEET(#REF!)</f>
        <v>#REF!</v>
      </c>
      <c r="BUG55" s="18" t="e">
        <f>#REF!</f>
        <v>#REF!</v>
      </c>
      <c r="BUH55" s="30">
        <f>BUH38-0.23</f>
        <v>0.77</v>
      </c>
      <c r="BUI55" s="30">
        <f t="shared" ref="BUI55:BUS55" si="36">BUI38+0.22</f>
        <v>2.2200000000000002</v>
      </c>
      <c r="BUJ55" s="30">
        <f t="shared" si="36"/>
        <v>3.22</v>
      </c>
      <c r="BUK55" s="30">
        <f t="shared" si="36"/>
        <v>4.22</v>
      </c>
      <c r="BUL55" s="30">
        <f t="shared" si="36"/>
        <v>5.22</v>
      </c>
      <c r="BUM55" s="30">
        <f t="shared" si="36"/>
        <v>6.22</v>
      </c>
      <c r="BUN55" s="30">
        <f t="shared" si="36"/>
        <v>7.22</v>
      </c>
      <c r="BUO55" s="30">
        <f t="shared" si="36"/>
        <v>8.2200000000000006</v>
      </c>
      <c r="BUP55" s="30">
        <f t="shared" si="36"/>
        <v>9.2200000000000006</v>
      </c>
      <c r="BUQ55" s="30">
        <f t="shared" si="36"/>
        <v>10.220000000000001</v>
      </c>
      <c r="BUR55" s="30">
        <f t="shared" si="36"/>
        <v>11.22</v>
      </c>
      <c r="BUS55" s="30">
        <f t="shared" si="36"/>
        <v>12.22</v>
      </c>
    </row>
    <row r="56" spans="1901:1917" x14ac:dyDescent="0.3">
      <c r="BUC56" s="18" t="s">
        <v>270</v>
      </c>
      <c r="BUD56" s="18" t="str">
        <f t="shared" ca="1" si="21"/>
        <v>#REF</v>
      </c>
      <c r="BUE56" s="18" t="e">
        <f ca="1" xml:space="preserve"> _xlfn.SHEET(#REF!)</f>
        <v>#REF!</v>
      </c>
      <c r="BUG56" s="18" t="e">
        <f>#REF!</f>
        <v>#REF!</v>
      </c>
      <c r="BUH56" s="30">
        <v>0</v>
      </c>
      <c r="BUI56" s="30">
        <v>0</v>
      </c>
      <c r="BUJ56" s="30">
        <v>0</v>
      </c>
      <c r="BUK56" s="30">
        <v>0</v>
      </c>
      <c r="BUL56" s="30">
        <v>0</v>
      </c>
      <c r="BUM56" s="30">
        <v>0</v>
      </c>
      <c r="BUN56" s="30">
        <v>0</v>
      </c>
      <c r="BUO56" s="30">
        <v>0</v>
      </c>
      <c r="BUP56" s="30">
        <v>0</v>
      </c>
      <c r="BUQ56" s="30">
        <v>0</v>
      </c>
      <c r="BUR56" s="30">
        <v>0</v>
      </c>
      <c r="BUS56" s="30">
        <v>0</v>
      </c>
    </row>
    <row r="57" spans="1901:1917" x14ac:dyDescent="0.3">
      <c r="BUC57" s="18" t="s">
        <v>270</v>
      </c>
      <c r="BUD57" s="18" t="str">
        <f t="shared" ca="1" si="21"/>
        <v>#REF</v>
      </c>
      <c r="BUE57" s="18" t="e">
        <f ca="1" xml:space="preserve"> _xlfn.SHEET(#REF!)</f>
        <v>#REF!</v>
      </c>
      <c r="BUG57" s="18" t="e">
        <f>#REF!</f>
        <v>#REF!</v>
      </c>
      <c r="BUH57" s="31" t="s">
        <v>269</v>
      </c>
      <c r="BUI57" s="31" t="s">
        <v>269</v>
      </c>
      <c r="BUJ57" s="31" t="s">
        <v>269</v>
      </c>
      <c r="BUK57" s="31" t="s">
        <v>269</v>
      </c>
      <c r="BUL57" s="31" t="s">
        <v>269</v>
      </c>
      <c r="BUM57" s="31" t="s">
        <v>269</v>
      </c>
      <c r="BUN57" s="31" t="s">
        <v>269</v>
      </c>
      <c r="BUO57" s="31" t="s">
        <v>269</v>
      </c>
      <c r="BUP57" s="31" t="s">
        <v>269</v>
      </c>
      <c r="BUQ57" s="31" t="s">
        <v>269</v>
      </c>
      <c r="BUR57" s="31" t="s">
        <v>269</v>
      </c>
      <c r="BUS57" s="31" t="s">
        <v>269</v>
      </c>
    </row>
    <row r="58" spans="1901:1917" x14ac:dyDescent="0.3">
      <c r="BUC58" s="18" t="s">
        <v>270</v>
      </c>
      <c r="BUD58" s="18" t="str">
        <f t="shared" ca="1" si="21"/>
        <v>#REF</v>
      </c>
      <c r="BUE58" s="18" t="e">
        <f ca="1" xml:space="preserve"> _xlfn.SHEET(#REF!)</f>
        <v>#REF!</v>
      </c>
      <c r="BUG58" s="18" t="e">
        <f>#REF!</f>
        <v>#REF!</v>
      </c>
      <c r="BUH58" s="31" t="str">
        <f>CONCATENATE(BUH57," ",BUH59)</f>
        <v>Var 1</v>
      </c>
      <c r="BUI58" s="31" t="str">
        <f t="shared" ref="BUI58:BUS58" si="37">CONCATENATE(BUI57," ",BUI59)</f>
        <v>Var 2</v>
      </c>
      <c r="BUJ58" s="31" t="str">
        <f t="shared" si="37"/>
        <v>Var 3</v>
      </c>
      <c r="BUK58" s="31" t="str">
        <f t="shared" si="37"/>
        <v>Var 4</v>
      </c>
      <c r="BUL58" s="31" t="str">
        <f t="shared" si="37"/>
        <v>Var 5</v>
      </c>
      <c r="BUM58" s="31" t="str">
        <f t="shared" si="37"/>
        <v>Var 6</v>
      </c>
      <c r="BUN58" s="31" t="str">
        <f t="shared" si="37"/>
        <v>Var 7</v>
      </c>
      <c r="BUO58" s="31" t="str">
        <f t="shared" si="37"/>
        <v>Var 8</v>
      </c>
      <c r="BUP58" s="31" t="str">
        <f t="shared" si="37"/>
        <v>Var 9</v>
      </c>
      <c r="BUQ58" s="31" t="str">
        <f t="shared" si="37"/>
        <v>Var 10</v>
      </c>
      <c r="BUR58" s="31" t="str">
        <f t="shared" si="37"/>
        <v>Var 11</v>
      </c>
      <c r="BUS58" s="31" t="str">
        <f t="shared" si="37"/>
        <v>Var 12</v>
      </c>
    </row>
    <row r="59" spans="1901:1917" x14ac:dyDescent="0.3">
      <c r="BUC59" s="18" t="s">
        <v>270</v>
      </c>
      <c r="BUD59" s="18" t="str">
        <f t="shared" ca="1" si="21"/>
        <v>#REF</v>
      </c>
      <c r="BUE59" s="18" t="e">
        <f ca="1" xml:space="preserve"> _xlfn.SHEET(#REF!)</f>
        <v>#REF!</v>
      </c>
      <c r="BUG59" s="18" t="e">
        <f>#REF!</f>
        <v>#REF!</v>
      </c>
      <c r="BUH59" s="32">
        <f>BUH38</f>
        <v>1</v>
      </c>
      <c r="BUI59" s="32">
        <f t="shared" ref="BUI59:BUS59" si="38">BUI38</f>
        <v>2</v>
      </c>
      <c r="BUJ59" s="32">
        <f t="shared" si="38"/>
        <v>3</v>
      </c>
      <c r="BUK59" s="32">
        <f t="shared" si="38"/>
        <v>4</v>
      </c>
      <c r="BUL59" s="32">
        <f t="shared" si="38"/>
        <v>5</v>
      </c>
      <c r="BUM59" s="32">
        <f t="shared" si="38"/>
        <v>6</v>
      </c>
      <c r="BUN59" s="32">
        <f t="shared" si="38"/>
        <v>7</v>
      </c>
      <c r="BUO59" s="32">
        <f t="shared" si="38"/>
        <v>8</v>
      </c>
      <c r="BUP59" s="32">
        <f t="shared" si="38"/>
        <v>9</v>
      </c>
      <c r="BUQ59" s="32">
        <f t="shared" si="38"/>
        <v>10</v>
      </c>
      <c r="BUR59" s="32">
        <f t="shared" si="38"/>
        <v>11</v>
      </c>
      <c r="BUS59" s="32">
        <f t="shared" si="38"/>
        <v>12</v>
      </c>
    </row>
    <row r="60" spans="1901:1917" x14ac:dyDescent="0.3">
      <c r="BUC60" s="18" t="s">
        <v>270</v>
      </c>
      <c r="BUD60" s="18" t="str">
        <f t="shared" ca="1" si="21"/>
        <v>#REF</v>
      </c>
      <c r="BUE60" s="18" t="e">
        <f ca="1" xml:space="preserve"> _xlfn.SHEET(#REF!)</f>
        <v>#REF!</v>
      </c>
      <c r="BUG60" s="18" t="e">
        <f>#REF!</f>
        <v>#REF!</v>
      </c>
      <c r="BUH60" s="33" t="e">
        <f t="shared" ref="BUH60:BUS60" si="39">MAX(BUH33:BUH34)</f>
        <v>#REF!</v>
      </c>
      <c r="BUI60" s="33" t="e">
        <f t="shared" si="39"/>
        <v>#REF!</v>
      </c>
      <c r="BUJ60" s="33">
        <f t="shared" si="39"/>
        <v>4436387.0750000002</v>
      </c>
      <c r="BUK60" s="33">
        <f t="shared" si="39"/>
        <v>5049956.3133333325</v>
      </c>
      <c r="BUL60" s="33">
        <f t="shared" si="39"/>
        <v>5450505.0679166652</v>
      </c>
      <c r="BUM60" s="33" t="e">
        <f t="shared" si="39"/>
        <v>#REF!</v>
      </c>
      <c r="BUN60" s="33" t="e">
        <f t="shared" si="39"/>
        <v>#REF!</v>
      </c>
      <c r="BUO60" s="33" t="e">
        <f t="shared" si="39"/>
        <v>#REF!</v>
      </c>
      <c r="BUP60" s="33" t="e">
        <f t="shared" si="39"/>
        <v>#REF!</v>
      </c>
      <c r="BUQ60" s="33" t="e">
        <f t="shared" si="39"/>
        <v>#REF!</v>
      </c>
      <c r="BUR60" s="33" t="e">
        <f t="shared" si="39"/>
        <v>#REF!</v>
      </c>
      <c r="BUS60" s="33" t="e">
        <f t="shared" si="39"/>
        <v>#REF!</v>
      </c>
    </row>
    <row r="61" spans="1901:1917" x14ac:dyDescent="0.3">
      <c r="BUC61" s="18" t="s">
        <v>270</v>
      </c>
      <c r="BUD61" s="18" t="str">
        <f t="shared" ca="1" si="21"/>
        <v>#REF</v>
      </c>
      <c r="BUE61" s="18" t="e">
        <f ca="1" xml:space="preserve"> _xlfn.SHEET(#REF!)</f>
        <v>#REF!</v>
      </c>
      <c r="BUG61" s="18" t="e">
        <f>#REF!</f>
        <v>#REF!</v>
      </c>
      <c r="BUH61" s="34" t="e">
        <f t="shared" ref="BUH61:BUS61" si="40">IF(BUH34-BUH33=0,"",BUH34-BUH33)</f>
        <v>#REF!</v>
      </c>
      <c r="BUI61" s="34" t="e">
        <f t="shared" si="40"/>
        <v>#REF!</v>
      </c>
      <c r="BUJ61" s="34">
        <f t="shared" si="40"/>
        <v>-741250.70000000019</v>
      </c>
      <c r="BUK61" s="34">
        <f t="shared" si="40"/>
        <v>-777114.66333333217</v>
      </c>
      <c r="BUL61" s="34">
        <f t="shared" si="40"/>
        <v>-1240663.4179166649</v>
      </c>
      <c r="BUM61" s="34" t="e">
        <f t="shared" si="40"/>
        <v>#REF!</v>
      </c>
      <c r="BUN61" s="34" t="e">
        <f t="shared" si="40"/>
        <v>#REF!</v>
      </c>
      <c r="BUO61" s="34" t="e">
        <f t="shared" si="40"/>
        <v>#REF!</v>
      </c>
      <c r="BUP61" s="34" t="e">
        <f t="shared" si="40"/>
        <v>#REF!</v>
      </c>
      <c r="BUQ61" s="34" t="e">
        <f t="shared" si="40"/>
        <v>#REF!</v>
      </c>
      <c r="BUR61" s="34" t="e">
        <f t="shared" si="40"/>
        <v>#REF!</v>
      </c>
      <c r="BUS61" s="34" t="e">
        <f t="shared" si="40"/>
        <v>#REF!</v>
      </c>
    </row>
    <row r="62" spans="1901:1917" x14ac:dyDescent="0.3">
      <c r="BUC62" s="18" t="s">
        <v>264</v>
      </c>
      <c r="BUD62" s="18" t="str">
        <f ca="1">SUBSTITUTE(MID(_xlfn.FORMULATEXT(BUG62),2,FIND("!",_xlfn.FORMULATEXT(BUG62),1)-2), "'","")</f>
        <v>#REF</v>
      </c>
      <c r="BUE62" s="18" t="e">
        <f ca="1" xml:space="preserve"> _xlfn.SHEET(#REF!)</f>
        <v>#REF!</v>
      </c>
      <c r="BUG62" s="18" t="e">
        <f>#REF!</f>
        <v>#REF!</v>
      </c>
    </row>
    <row r="63" spans="1901:1917" x14ac:dyDescent="0.3">
      <c r="BUC63" s="18" t="s">
        <v>264</v>
      </c>
      <c r="BUD63" s="18" t="str">
        <f t="shared" ref="BUD63:BUD91" ca="1" si="41">SUBSTITUTE(MID(_xlfn.FORMULATEXT(BUG63),2,FIND("!",_xlfn.FORMULATEXT(BUG63),1)-2), "'","")</f>
        <v>#REF</v>
      </c>
      <c r="BUE63" s="18" t="e">
        <f ca="1" xml:space="preserve"> _xlfn.SHEET(#REF!)</f>
        <v>#REF!</v>
      </c>
      <c r="BUG63" s="18" t="e">
        <f>#REF!</f>
        <v>#REF!</v>
      </c>
      <c r="BUH63" s="35" t="e">
        <f>#REF!</f>
        <v>#REF!</v>
      </c>
      <c r="BUI63" s="35" t="e">
        <f>#REF!</f>
        <v>#REF!</v>
      </c>
      <c r="BUJ63" s="35" t="e">
        <f>#REF!</f>
        <v>#REF!</v>
      </c>
      <c r="BUK63" s="35" t="e">
        <f>#REF!</f>
        <v>#REF!</v>
      </c>
      <c r="BUL63" s="35" t="e">
        <f>#REF!</f>
        <v>#REF!</v>
      </c>
      <c r="BUM63" s="35" t="e">
        <f>#REF!</f>
        <v>#REF!</v>
      </c>
      <c r="BUN63" s="35" t="e">
        <f>#REF!</f>
        <v>#REF!</v>
      </c>
      <c r="BUO63" s="35" t="e">
        <f>#REF!</f>
        <v>#REF!</v>
      </c>
      <c r="BUP63" s="35" t="e">
        <f>#REF!</f>
        <v>#REF!</v>
      </c>
      <c r="BUQ63" s="35" t="e">
        <f>#REF!</f>
        <v>#REF!</v>
      </c>
      <c r="BUR63" s="35" t="e">
        <f>#REF!</f>
        <v>#REF!</v>
      </c>
      <c r="BUS63" s="35" t="e">
        <f>#REF!</f>
        <v>#REF!</v>
      </c>
    </row>
    <row r="64" spans="1901:1917" x14ac:dyDescent="0.3">
      <c r="BUC64" s="18" t="s">
        <v>264</v>
      </c>
      <c r="BUD64" s="18" t="str">
        <f t="shared" ca="1" si="41"/>
        <v>#REF</v>
      </c>
      <c r="BUE64" s="18" t="e">
        <f ca="1" xml:space="preserve"> _xlfn.SHEET(#REF!)</f>
        <v>#REF!</v>
      </c>
      <c r="BUG64" s="18" t="e">
        <f>#REF!</f>
        <v>#REF!</v>
      </c>
      <c r="BUH64" s="35" t="e">
        <f>#REF!</f>
        <v>#REF!</v>
      </c>
      <c r="BUI64" s="35" t="e">
        <f>#REF!</f>
        <v>#REF!</v>
      </c>
      <c r="BUJ64" s="35" t="e">
        <f>#REF!</f>
        <v>#REF!</v>
      </c>
      <c r="BUK64" s="35" t="e">
        <f>#REF!</f>
        <v>#REF!</v>
      </c>
      <c r="BUL64" s="35" t="e">
        <f>#REF!</f>
        <v>#REF!</v>
      </c>
      <c r="BUM64" s="35" t="e">
        <f>#REF!</f>
        <v>#REF!</v>
      </c>
      <c r="BUN64" s="35" t="e">
        <f>#REF!</f>
        <v>#REF!</v>
      </c>
      <c r="BUO64" s="35" t="e">
        <f>#REF!</f>
        <v>#REF!</v>
      </c>
      <c r="BUP64" s="35" t="e">
        <f>#REF!</f>
        <v>#REF!</v>
      </c>
      <c r="BUQ64" s="35" t="e">
        <f>#REF!</f>
        <v>#REF!</v>
      </c>
      <c r="BUR64" s="35" t="e">
        <f>#REF!</f>
        <v>#REF!</v>
      </c>
      <c r="BUS64" s="35" t="e">
        <f>#REF!</f>
        <v>#REF!</v>
      </c>
    </row>
    <row r="65" spans="1901:1917" x14ac:dyDescent="0.3">
      <c r="BUC65" s="18" t="s">
        <v>264</v>
      </c>
      <c r="BUD65" s="18" t="str">
        <f t="shared" ca="1" si="41"/>
        <v>#REF</v>
      </c>
      <c r="BUE65" s="18" t="e">
        <f ca="1" xml:space="preserve"> _xlfn.SHEET(#REF!)</f>
        <v>#REF!</v>
      </c>
      <c r="BUG65" s="18" t="e">
        <f>#REF!</f>
        <v>#REF!</v>
      </c>
      <c r="BUH65" s="22" t="s">
        <v>265</v>
      </c>
    </row>
    <row r="66" spans="1901:1917" x14ac:dyDescent="0.3">
      <c r="BUC66" s="18" t="s">
        <v>264</v>
      </c>
      <c r="BUD66" s="18" t="str">
        <f t="shared" ca="1" si="41"/>
        <v>#REF</v>
      </c>
      <c r="BUE66" s="18" t="e">
        <f ca="1" xml:space="preserve"> _xlfn.SHEET(#REF!)</f>
        <v>#REF!</v>
      </c>
      <c r="BUG66" s="18" t="e">
        <f>#REF!</f>
        <v>#REF!</v>
      </c>
      <c r="BUH66" s="23" t="s">
        <v>83</v>
      </c>
      <c r="BUI66" s="23" t="s">
        <v>83</v>
      </c>
      <c r="BUJ66" s="23" t="s">
        <v>83</v>
      </c>
      <c r="BUK66" s="23" t="s">
        <v>83</v>
      </c>
      <c r="BUL66" s="23" t="s">
        <v>83</v>
      </c>
      <c r="BUM66" s="23" t="s">
        <v>83</v>
      </c>
      <c r="BUN66" s="23" t="s">
        <v>83</v>
      </c>
      <c r="BUO66" s="23" t="s">
        <v>83</v>
      </c>
      <c r="BUP66" s="23" t="s">
        <v>83</v>
      </c>
      <c r="BUQ66" s="23" t="s">
        <v>83</v>
      </c>
      <c r="BUR66" s="23" t="s">
        <v>83</v>
      </c>
      <c r="BUS66" s="23" t="s">
        <v>83</v>
      </c>
    </row>
    <row r="67" spans="1901:1917" x14ac:dyDescent="0.3">
      <c r="BUC67" s="18" t="s">
        <v>264</v>
      </c>
      <c r="BUD67" s="18" t="str">
        <f t="shared" ca="1" si="41"/>
        <v>#REF</v>
      </c>
      <c r="BUE67" s="18" t="e">
        <f ca="1" xml:space="preserve"> _xlfn.SHEET(#REF!)</f>
        <v>#REF!</v>
      </c>
      <c r="BUG67" s="18" t="e">
        <f>#REF!</f>
        <v>#REF!</v>
      </c>
      <c r="BUH67" s="23" t="str">
        <f>CONCATENATE(BUH66," ",BUH68)</f>
        <v>Green 1</v>
      </c>
      <c r="BUI67" s="23" t="str">
        <f t="shared" ref="BUI67:BUS67" si="42">CONCATENATE(BUI66," ",BUI68)</f>
        <v>Green 2</v>
      </c>
      <c r="BUJ67" s="23" t="str">
        <f t="shared" si="42"/>
        <v>Green 3</v>
      </c>
      <c r="BUK67" s="23" t="str">
        <f t="shared" si="42"/>
        <v>Green 4</v>
      </c>
      <c r="BUL67" s="23" t="str">
        <f t="shared" si="42"/>
        <v>Green 5</v>
      </c>
      <c r="BUM67" s="23" t="str">
        <f t="shared" si="42"/>
        <v>Green 6</v>
      </c>
      <c r="BUN67" s="23" t="str">
        <f t="shared" si="42"/>
        <v>Green 7</v>
      </c>
      <c r="BUO67" s="23" t="str">
        <f t="shared" si="42"/>
        <v>Green 8</v>
      </c>
      <c r="BUP67" s="23" t="str">
        <f t="shared" si="42"/>
        <v>Green 9</v>
      </c>
      <c r="BUQ67" s="23" t="str">
        <f t="shared" si="42"/>
        <v>Green 10</v>
      </c>
      <c r="BUR67" s="23" t="str">
        <f t="shared" si="42"/>
        <v>Green 11</v>
      </c>
      <c r="BUS67" s="23" t="str">
        <f t="shared" si="42"/>
        <v>Green 12</v>
      </c>
    </row>
    <row r="68" spans="1901:1917" x14ac:dyDescent="0.3">
      <c r="BUC68" s="18" t="s">
        <v>264</v>
      </c>
      <c r="BUD68" s="18" t="str">
        <f t="shared" ca="1" si="41"/>
        <v>#REF</v>
      </c>
      <c r="BUE68" s="18" t="e">
        <f ca="1" xml:space="preserve"> _xlfn.SHEET(#REF!)</f>
        <v>#REF!</v>
      </c>
      <c r="BUG68" s="18" t="e">
        <f>#REF!</f>
        <v>#REF!</v>
      </c>
      <c r="BUH68" s="24">
        <v>1</v>
      </c>
      <c r="BUI68" s="24">
        <f t="shared" ref="BUI68:BUS68" si="43">BUH68+1</f>
        <v>2</v>
      </c>
      <c r="BUJ68" s="24">
        <f t="shared" si="43"/>
        <v>3</v>
      </c>
      <c r="BUK68" s="24">
        <f t="shared" si="43"/>
        <v>4</v>
      </c>
      <c r="BUL68" s="24">
        <f t="shared" si="43"/>
        <v>5</v>
      </c>
      <c r="BUM68" s="24">
        <f t="shared" si="43"/>
        <v>6</v>
      </c>
      <c r="BUN68" s="24">
        <f t="shared" si="43"/>
        <v>7</v>
      </c>
      <c r="BUO68" s="24">
        <f t="shared" si="43"/>
        <v>8</v>
      </c>
      <c r="BUP68" s="24">
        <f t="shared" si="43"/>
        <v>9</v>
      </c>
      <c r="BUQ68" s="24">
        <f t="shared" si="43"/>
        <v>10</v>
      </c>
      <c r="BUR68" s="24">
        <f t="shared" si="43"/>
        <v>11</v>
      </c>
      <c r="BUS68" s="24">
        <f t="shared" si="43"/>
        <v>12</v>
      </c>
    </row>
    <row r="69" spans="1901:1917" x14ac:dyDescent="0.3">
      <c r="BUC69" s="18" t="s">
        <v>264</v>
      </c>
      <c r="BUD69" s="18" t="str">
        <f t="shared" ca="1" si="41"/>
        <v>#REF</v>
      </c>
      <c r="BUE69" s="18" t="e">
        <f ca="1" xml:space="preserve"> _xlfn.SHEET(#REF!)</f>
        <v>#REF!</v>
      </c>
      <c r="BUG69" s="18" t="e">
        <f>#REF!</f>
        <v>#REF!</v>
      </c>
      <c r="BUH69" s="24">
        <f>BUH68</f>
        <v>1</v>
      </c>
      <c r="BUI69" s="24">
        <f t="shared" ref="BUI69:BUS69" si="44">BUI68</f>
        <v>2</v>
      </c>
      <c r="BUJ69" s="24">
        <f t="shared" si="44"/>
        <v>3</v>
      </c>
      <c r="BUK69" s="24">
        <f t="shared" si="44"/>
        <v>4</v>
      </c>
      <c r="BUL69" s="24">
        <f t="shared" si="44"/>
        <v>5</v>
      </c>
      <c r="BUM69" s="24">
        <f t="shared" si="44"/>
        <v>6</v>
      </c>
      <c r="BUN69" s="24">
        <f t="shared" si="44"/>
        <v>7</v>
      </c>
      <c r="BUO69" s="24">
        <f t="shared" si="44"/>
        <v>8</v>
      </c>
      <c r="BUP69" s="24">
        <f t="shared" si="44"/>
        <v>9</v>
      </c>
      <c r="BUQ69" s="24">
        <f t="shared" si="44"/>
        <v>10</v>
      </c>
      <c r="BUR69" s="24">
        <f t="shared" si="44"/>
        <v>11</v>
      </c>
      <c r="BUS69" s="24">
        <f t="shared" si="44"/>
        <v>12</v>
      </c>
    </row>
    <row r="70" spans="1901:1917" x14ac:dyDescent="0.3">
      <c r="BUC70" s="18" t="s">
        <v>264</v>
      </c>
      <c r="BUD70" s="18" t="str">
        <f t="shared" ca="1" si="41"/>
        <v>#REF</v>
      </c>
      <c r="BUE70" s="18" t="e">
        <f ca="1" xml:space="preserve"> _xlfn.SHEET(#REF!)</f>
        <v>#REF!</v>
      </c>
      <c r="BUG70" s="18" t="e">
        <f>#REF!</f>
        <v>#REF!</v>
      </c>
      <c r="BUH70" s="24" t="e">
        <f t="shared" ref="BUH70:BUS70" si="45">IF(BUH64&gt;BUH63,BUH63,0)</f>
        <v>#REF!</v>
      </c>
      <c r="BUI70" s="24" t="e">
        <f t="shared" si="45"/>
        <v>#REF!</v>
      </c>
      <c r="BUJ70" s="24" t="e">
        <f t="shared" si="45"/>
        <v>#REF!</v>
      </c>
      <c r="BUK70" s="24" t="e">
        <f t="shared" si="45"/>
        <v>#REF!</v>
      </c>
      <c r="BUL70" s="24" t="e">
        <f t="shared" si="45"/>
        <v>#REF!</v>
      </c>
      <c r="BUM70" s="24" t="e">
        <f t="shared" si="45"/>
        <v>#REF!</v>
      </c>
      <c r="BUN70" s="24" t="e">
        <f t="shared" si="45"/>
        <v>#REF!</v>
      </c>
      <c r="BUO70" s="24" t="e">
        <f t="shared" si="45"/>
        <v>#REF!</v>
      </c>
      <c r="BUP70" s="24" t="e">
        <f t="shared" si="45"/>
        <v>#REF!</v>
      </c>
      <c r="BUQ70" s="24" t="e">
        <f t="shared" si="45"/>
        <v>#REF!</v>
      </c>
      <c r="BUR70" s="24" t="e">
        <f t="shared" si="45"/>
        <v>#REF!</v>
      </c>
      <c r="BUS70" s="24" t="e">
        <f t="shared" si="45"/>
        <v>#REF!</v>
      </c>
    </row>
    <row r="71" spans="1901:1917" x14ac:dyDescent="0.3">
      <c r="BUC71" s="18" t="s">
        <v>264</v>
      </c>
      <c r="BUD71" s="18" t="str">
        <f t="shared" ca="1" si="41"/>
        <v>#REF</v>
      </c>
      <c r="BUE71" s="18" t="e">
        <f ca="1" xml:space="preserve"> _xlfn.SHEET(#REF!)</f>
        <v>#REF!</v>
      </c>
      <c r="BUG71" s="18" t="e">
        <f>#REF!</f>
        <v>#REF!</v>
      </c>
      <c r="BUH71" s="24" t="e">
        <f t="shared" ref="BUH71:BUS71" si="46">IF(BUH64&gt;BUH63,BUH64,0)</f>
        <v>#REF!</v>
      </c>
      <c r="BUI71" s="24" t="e">
        <f t="shared" si="46"/>
        <v>#REF!</v>
      </c>
      <c r="BUJ71" s="24" t="e">
        <f t="shared" si="46"/>
        <v>#REF!</v>
      </c>
      <c r="BUK71" s="24" t="e">
        <f t="shared" si="46"/>
        <v>#REF!</v>
      </c>
      <c r="BUL71" s="24" t="e">
        <f t="shared" si="46"/>
        <v>#REF!</v>
      </c>
      <c r="BUM71" s="24" t="e">
        <f t="shared" si="46"/>
        <v>#REF!</v>
      </c>
      <c r="BUN71" s="24" t="e">
        <f t="shared" si="46"/>
        <v>#REF!</v>
      </c>
      <c r="BUO71" s="24" t="e">
        <f t="shared" si="46"/>
        <v>#REF!</v>
      </c>
      <c r="BUP71" s="24" t="e">
        <f t="shared" si="46"/>
        <v>#REF!</v>
      </c>
      <c r="BUQ71" s="24" t="e">
        <f t="shared" si="46"/>
        <v>#REF!</v>
      </c>
      <c r="BUR71" s="24" t="e">
        <f t="shared" si="46"/>
        <v>#REF!</v>
      </c>
      <c r="BUS71" s="24" t="e">
        <f t="shared" si="46"/>
        <v>#REF!</v>
      </c>
    </row>
    <row r="72" spans="1901:1917" x14ac:dyDescent="0.3">
      <c r="BUC72" s="18" t="s">
        <v>264</v>
      </c>
      <c r="BUD72" s="18" t="str">
        <f t="shared" ca="1" si="41"/>
        <v>#REF</v>
      </c>
      <c r="BUE72" s="18" t="e">
        <f ca="1" xml:space="preserve"> _xlfn.SHEET(#REF!)</f>
        <v>#REF!</v>
      </c>
      <c r="BUG72" s="18" t="e">
        <f>#REF!</f>
        <v>#REF!</v>
      </c>
      <c r="BUH72" s="25" t="s">
        <v>266</v>
      </c>
      <c r="BUI72" s="25" t="s">
        <v>266</v>
      </c>
      <c r="BUJ72" s="25" t="s">
        <v>266</v>
      </c>
      <c r="BUK72" s="25" t="s">
        <v>266</v>
      </c>
      <c r="BUL72" s="25" t="s">
        <v>266</v>
      </c>
      <c r="BUM72" s="25" t="s">
        <v>266</v>
      </c>
      <c r="BUN72" s="25" t="s">
        <v>266</v>
      </c>
      <c r="BUO72" s="25" t="s">
        <v>266</v>
      </c>
      <c r="BUP72" s="25" t="s">
        <v>266</v>
      </c>
      <c r="BUQ72" s="25" t="s">
        <v>266</v>
      </c>
      <c r="BUR72" s="25" t="s">
        <v>266</v>
      </c>
      <c r="BUS72" s="25" t="s">
        <v>266</v>
      </c>
    </row>
    <row r="73" spans="1901:1917" x14ac:dyDescent="0.3">
      <c r="BUC73" s="18" t="s">
        <v>264</v>
      </c>
      <c r="BUD73" s="18" t="str">
        <f t="shared" ca="1" si="41"/>
        <v>#REF</v>
      </c>
      <c r="BUE73" s="18" t="e">
        <f ca="1" xml:space="preserve"> _xlfn.SHEET(#REF!)</f>
        <v>#REF!</v>
      </c>
      <c r="BUG73" s="18" t="e">
        <f>#REF!</f>
        <v>#REF!</v>
      </c>
      <c r="BUH73" s="25" t="str">
        <f>CONCATENATE(BUH72," ",BUH74)</f>
        <v>Red 1</v>
      </c>
      <c r="BUI73" s="25" t="str">
        <f t="shared" ref="BUI73:BUS73" si="47">CONCATENATE(BUI72," ",BUI74)</f>
        <v>Red 2</v>
      </c>
      <c r="BUJ73" s="25" t="str">
        <f t="shared" si="47"/>
        <v>Red 3</v>
      </c>
      <c r="BUK73" s="25" t="str">
        <f t="shared" si="47"/>
        <v>Red 4</v>
      </c>
      <c r="BUL73" s="25" t="str">
        <f t="shared" si="47"/>
        <v>Red 5</v>
      </c>
      <c r="BUM73" s="25" t="str">
        <f t="shared" si="47"/>
        <v>Red 6</v>
      </c>
      <c r="BUN73" s="25" t="str">
        <f t="shared" si="47"/>
        <v>Red 7</v>
      </c>
      <c r="BUO73" s="25" t="str">
        <f t="shared" si="47"/>
        <v>Red 8</v>
      </c>
      <c r="BUP73" s="25" t="str">
        <f t="shared" si="47"/>
        <v>Red 9</v>
      </c>
      <c r="BUQ73" s="25" t="str">
        <f t="shared" si="47"/>
        <v>Red 10</v>
      </c>
      <c r="BUR73" s="25" t="str">
        <f t="shared" si="47"/>
        <v>Red 11</v>
      </c>
      <c r="BUS73" s="25" t="str">
        <f t="shared" si="47"/>
        <v>Red 12</v>
      </c>
    </row>
    <row r="74" spans="1901:1917" x14ac:dyDescent="0.3">
      <c r="BUC74" s="18" t="s">
        <v>264</v>
      </c>
      <c r="BUD74" s="18" t="str">
        <f t="shared" ca="1" si="41"/>
        <v>#REF</v>
      </c>
      <c r="BUE74" s="18" t="e">
        <f ca="1" xml:space="preserve"> _xlfn.SHEET(#REF!)</f>
        <v>#REF!</v>
      </c>
      <c r="BUG74" s="18" t="e">
        <f>#REF!</f>
        <v>#REF!</v>
      </c>
      <c r="BUH74" s="26">
        <f>BUH68</f>
        <v>1</v>
      </c>
      <c r="BUI74" s="26">
        <f t="shared" ref="BUI74:BUS74" si="48">BUI68</f>
        <v>2</v>
      </c>
      <c r="BUJ74" s="26">
        <f t="shared" si="48"/>
        <v>3</v>
      </c>
      <c r="BUK74" s="26">
        <f t="shared" si="48"/>
        <v>4</v>
      </c>
      <c r="BUL74" s="26">
        <f t="shared" si="48"/>
        <v>5</v>
      </c>
      <c r="BUM74" s="26">
        <f t="shared" si="48"/>
        <v>6</v>
      </c>
      <c r="BUN74" s="26">
        <f t="shared" si="48"/>
        <v>7</v>
      </c>
      <c r="BUO74" s="26">
        <f t="shared" si="48"/>
        <v>8</v>
      </c>
      <c r="BUP74" s="26">
        <f t="shared" si="48"/>
        <v>9</v>
      </c>
      <c r="BUQ74" s="26">
        <f t="shared" si="48"/>
        <v>10</v>
      </c>
      <c r="BUR74" s="26">
        <f t="shared" si="48"/>
        <v>11</v>
      </c>
      <c r="BUS74" s="26">
        <f t="shared" si="48"/>
        <v>12</v>
      </c>
    </row>
    <row r="75" spans="1901:1917" x14ac:dyDescent="0.3">
      <c r="BUC75" s="18" t="s">
        <v>264</v>
      </c>
      <c r="BUD75" s="18" t="str">
        <f t="shared" ca="1" si="41"/>
        <v>#REF</v>
      </c>
      <c r="BUE75" s="18" t="e">
        <f ca="1" xml:space="preserve"> _xlfn.SHEET(#REF!)</f>
        <v>#REF!</v>
      </c>
      <c r="BUG75" s="18" t="e">
        <f>#REF!</f>
        <v>#REF!</v>
      </c>
      <c r="BUH75" s="26">
        <f>BUH68</f>
        <v>1</v>
      </c>
      <c r="BUI75" s="26">
        <f t="shared" ref="BUI75:BUS75" si="49">BUI68</f>
        <v>2</v>
      </c>
      <c r="BUJ75" s="26">
        <f t="shared" si="49"/>
        <v>3</v>
      </c>
      <c r="BUK75" s="26">
        <f t="shared" si="49"/>
        <v>4</v>
      </c>
      <c r="BUL75" s="26">
        <f t="shared" si="49"/>
        <v>5</v>
      </c>
      <c r="BUM75" s="26">
        <f t="shared" si="49"/>
        <v>6</v>
      </c>
      <c r="BUN75" s="26">
        <f t="shared" si="49"/>
        <v>7</v>
      </c>
      <c r="BUO75" s="26">
        <f t="shared" si="49"/>
        <v>8</v>
      </c>
      <c r="BUP75" s="26">
        <f t="shared" si="49"/>
        <v>9</v>
      </c>
      <c r="BUQ75" s="26">
        <f t="shared" si="49"/>
        <v>10</v>
      </c>
      <c r="BUR75" s="26">
        <f t="shared" si="49"/>
        <v>11</v>
      </c>
      <c r="BUS75" s="26">
        <f t="shared" si="49"/>
        <v>12</v>
      </c>
    </row>
    <row r="76" spans="1901:1917" x14ac:dyDescent="0.3">
      <c r="BUC76" s="18" t="s">
        <v>264</v>
      </c>
      <c r="BUD76" s="18" t="str">
        <f t="shared" ca="1" si="41"/>
        <v>#REF</v>
      </c>
      <c r="BUE76" s="18" t="e">
        <f ca="1" xml:space="preserve"> _xlfn.SHEET(#REF!)</f>
        <v>#REF!</v>
      </c>
      <c r="BUG76" s="18" t="e">
        <f>#REF!</f>
        <v>#REF!</v>
      </c>
      <c r="BUH76" s="26" t="e">
        <f t="shared" ref="BUH76:BUS76" si="50">IF(BUH63&gt;BUH64,BUH63,0)</f>
        <v>#REF!</v>
      </c>
      <c r="BUI76" s="26" t="e">
        <f t="shared" si="50"/>
        <v>#REF!</v>
      </c>
      <c r="BUJ76" s="26" t="e">
        <f t="shared" si="50"/>
        <v>#REF!</v>
      </c>
      <c r="BUK76" s="26" t="e">
        <f t="shared" si="50"/>
        <v>#REF!</v>
      </c>
      <c r="BUL76" s="26" t="e">
        <f t="shared" si="50"/>
        <v>#REF!</v>
      </c>
      <c r="BUM76" s="26" t="e">
        <f t="shared" si="50"/>
        <v>#REF!</v>
      </c>
      <c r="BUN76" s="26" t="e">
        <f t="shared" si="50"/>
        <v>#REF!</v>
      </c>
      <c r="BUO76" s="26" t="e">
        <f t="shared" si="50"/>
        <v>#REF!</v>
      </c>
      <c r="BUP76" s="26" t="e">
        <f t="shared" si="50"/>
        <v>#REF!</v>
      </c>
      <c r="BUQ76" s="26" t="e">
        <f t="shared" si="50"/>
        <v>#REF!</v>
      </c>
      <c r="BUR76" s="26" t="e">
        <f t="shared" si="50"/>
        <v>#REF!</v>
      </c>
      <c r="BUS76" s="26" t="e">
        <f t="shared" si="50"/>
        <v>#REF!</v>
      </c>
    </row>
    <row r="77" spans="1901:1917" x14ac:dyDescent="0.3">
      <c r="BUC77" s="18" t="s">
        <v>264</v>
      </c>
      <c r="BUD77" s="18" t="str">
        <f t="shared" ca="1" si="41"/>
        <v>#REF</v>
      </c>
      <c r="BUE77" s="18" t="e">
        <f ca="1" xml:space="preserve"> _xlfn.SHEET(#REF!)</f>
        <v>#REF!</v>
      </c>
      <c r="BUG77" s="18" t="e">
        <f>#REF!</f>
        <v>#REF!</v>
      </c>
      <c r="BUH77" s="26" t="e">
        <f t="shared" ref="BUH77:BUS77" si="51">IF(BUH63&gt;BUH64,BUH64,0)</f>
        <v>#REF!</v>
      </c>
      <c r="BUI77" s="26" t="e">
        <f t="shared" si="51"/>
        <v>#REF!</v>
      </c>
      <c r="BUJ77" s="26" t="e">
        <f t="shared" si="51"/>
        <v>#REF!</v>
      </c>
      <c r="BUK77" s="26" t="e">
        <f t="shared" si="51"/>
        <v>#REF!</v>
      </c>
      <c r="BUL77" s="26" t="e">
        <f t="shared" si="51"/>
        <v>#REF!</v>
      </c>
      <c r="BUM77" s="26" t="e">
        <f t="shared" si="51"/>
        <v>#REF!</v>
      </c>
      <c r="BUN77" s="26" t="e">
        <f t="shared" si="51"/>
        <v>#REF!</v>
      </c>
      <c r="BUO77" s="26" t="e">
        <f t="shared" si="51"/>
        <v>#REF!</v>
      </c>
      <c r="BUP77" s="26" t="e">
        <f t="shared" si="51"/>
        <v>#REF!</v>
      </c>
      <c r="BUQ77" s="26" t="e">
        <f t="shared" si="51"/>
        <v>#REF!</v>
      </c>
      <c r="BUR77" s="26" t="e">
        <f t="shared" si="51"/>
        <v>#REF!</v>
      </c>
      <c r="BUS77" s="26" t="e">
        <f t="shared" si="51"/>
        <v>#REF!</v>
      </c>
    </row>
    <row r="78" spans="1901:1917" x14ac:dyDescent="0.3">
      <c r="BUC78" s="18" t="s">
        <v>264</v>
      </c>
      <c r="BUD78" s="18" t="str">
        <f t="shared" ca="1" si="41"/>
        <v>#REF</v>
      </c>
      <c r="BUE78" s="18" t="e">
        <f ca="1" xml:space="preserve"> _xlfn.SHEET(#REF!)</f>
        <v>#REF!</v>
      </c>
      <c r="BUG78" s="18" t="e">
        <f>#REF!</f>
        <v>#REF!</v>
      </c>
      <c r="BUH78" s="27" t="s">
        <v>267</v>
      </c>
      <c r="BUI78" s="27" t="s">
        <v>267</v>
      </c>
      <c r="BUJ78" s="27" t="s">
        <v>267</v>
      </c>
      <c r="BUK78" s="27" t="s">
        <v>267</v>
      </c>
      <c r="BUL78" s="27" t="s">
        <v>267</v>
      </c>
      <c r="BUM78" s="27" t="s">
        <v>267</v>
      </c>
      <c r="BUN78" s="27" t="s">
        <v>267</v>
      </c>
      <c r="BUO78" s="27" t="s">
        <v>267</v>
      </c>
      <c r="BUP78" s="27" t="s">
        <v>267</v>
      </c>
      <c r="BUQ78" s="27" t="s">
        <v>267</v>
      </c>
      <c r="BUR78" s="27" t="s">
        <v>267</v>
      </c>
      <c r="BUS78" s="27" t="s">
        <v>267</v>
      </c>
    </row>
    <row r="79" spans="1901:1917" x14ac:dyDescent="0.3">
      <c r="BUC79" s="18" t="s">
        <v>264</v>
      </c>
      <c r="BUD79" s="18" t="str">
        <f t="shared" ca="1" si="41"/>
        <v>#REF</v>
      </c>
      <c r="BUE79" s="18" t="e">
        <f ca="1" xml:space="preserve"> _xlfn.SHEET(#REF!)</f>
        <v>#REF!</v>
      </c>
      <c r="BUG79" s="18" t="e">
        <f>#REF!</f>
        <v>#REF!</v>
      </c>
      <c r="BUH79" s="27" t="str">
        <f>CONCATENATE(BUH78," ",BUH68)</f>
        <v>Actual 1</v>
      </c>
      <c r="BUI79" s="27" t="str">
        <f t="shared" ref="BUI79:BUS79" si="52">CONCATENATE(BUI78," ",BUI68)</f>
        <v>Actual 2</v>
      </c>
      <c r="BUJ79" s="27" t="str">
        <f t="shared" si="52"/>
        <v>Actual 3</v>
      </c>
      <c r="BUK79" s="27" t="str">
        <f t="shared" si="52"/>
        <v>Actual 4</v>
      </c>
      <c r="BUL79" s="27" t="str">
        <f t="shared" si="52"/>
        <v>Actual 5</v>
      </c>
      <c r="BUM79" s="27" t="str">
        <f t="shared" si="52"/>
        <v>Actual 6</v>
      </c>
      <c r="BUN79" s="27" t="str">
        <f t="shared" si="52"/>
        <v>Actual 7</v>
      </c>
      <c r="BUO79" s="27" t="str">
        <f t="shared" si="52"/>
        <v>Actual 8</v>
      </c>
      <c r="BUP79" s="27" t="str">
        <f t="shared" si="52"/>
        <v>Actual 9</v>
      </c>
      <c r="BUQ79" s="27" t="str">
        <f t="shared" si="52"/>
        <v>Actual 10</v>
      </c>
      <c r="BUR79" s="27" t="str">
        <f t="shared" si="52"/>
        <v>Actual 11</v>
      </c>
      <c r="BUS79" s="27" t="str">
        <f t="shared" si="52"/>
        <v>Actual 12</v>
      </c>
    </row>
    <row r="80" spans="1901:1917" x14ac:dyDescent="0.3">
      <c r="BUC80" s="18" t="s">
        <v>264</v>
      </c>
      <c r="BUD80" s="18" t="str">
        <f t="shared" ca="1" si="41"/>
        <v>#REF</v>
      </c>
      <c r="BUE80" s="18" t="e">
        <f ca="1" xml:space="preserve"> _xlfn.SHEET(#REF!)</f>
        <v>#REF!</v>
      </c>
      <c r="BUG80" s="18" t="e">
        <f>#REF!</f>
        <v>#REF!</v>
      </c>
      <c r="BUH80" s="28">
        <f>BUH68-0.25</f>
        <v>0.75</v>
      </c>
      <c r="BUI80" s="28">
        <f t="shared" ref="BUI80:BUS80" si="53">BUI68-0.25</f>
        <v>1.75</v>
      </c>
      <c r="BUJ80" s="28">
        <f t="shared" si="53"/>
        <v>2.75</v>
      </c>
      <c r="BUK80" s="28">
        <f t="shared" si="53"/>
        <v>3.75</v>
      </c>
      <c r="BUL80" s="28">
        <f t="shared" si="53"/>
        <v>4.75</v>
      </c>
      <c r="BUM80" s="28">
        <f t="shared" si="53"/>
        <v>5.75</v>
      </c>
      <c r="BUN80" s="28">
        <f t="shared" si="53"/>
        <v>6.75</v>
      </c>
      <c r="BUO80" s="28">
        <f t="shared" si="53"/>
        <v>7.75</v>
      </c>
      <c r="BUP80" s="28">
        <f t="shared" si="53"/>
        <v>8.75</v>
      </c>
      <c r="BUQ80" s="28">
        <f t="shared" si="53"/>
        <v>9.75</v>
      </c>
      <c r="BUR80" s="28">
        <f t="shared" si="53"/>
        <v>10.75</v>
      </c>
      <c r="BUS80" s="28">
        <f t="shared" si="53"/>
        <v>11.75</v>
      </c>
    </row>
    <row r="81" spans="1901:1917" x14ac:dyDescent="0.3">
      <c r="BUC81" s="18" t="s">
        <v>264</v>
      </c>
      <c r="BUD81" s="18" t="str">
        <f t="shared" ca="1" si="41"/>
        <v>#REF</v>
      </c>
      <c r="BUE81" s="18" t="e">
        <f ca="1" xml:space="preserve"> _xlfn.SHEET(#REF!)</f>
        <v>#REF!</v>
      </c>
      <c r="BUG81" s="18" t="e">
        <f>#REF!</f>
        <v>#REF!</v>
      </c>
      <c r="BUH81" s="28">
        <f>BUH68-0.25</f>
        <v>0.75</v>
      </c>
      <c r="BUI81" s="28">
        <f t="shared" ref="BUI81:BUS81" si="54">BUI68-0.25</f>
        <v>1.75</v>
      </c>
      <c r="BUJ81" s="28">
        <f t="shared" si="54"/>
        <v>2.75</v>
      </c>
      <c r="BUK81" s="28">
        <f t="shared" si="54"/>
        <v>3.75</v>
      </c>
      <c r="BUL81" s="28">
        <f t="shared" si="54"/>
        <v>4.75</v>
      </c>
      <c r="BUM81" s="28">
        <f t="shared" si="54"/>
        <v>5.75</v>
      </c>
      <c r="BUN81" s="28">
        <f t="shared" si="54"/>
        <v>6.75</v>
      </c>
      <c r="BUO81" s="28">
        <f t="shared" si="54"/>
        <v>7.75</v>
      </c>
      <c r="BUP81" s="28">
        <f t="shared" si="54"/>
        <v>8.75</v>
      </c>
      <c r="BUQ81" s="28">
        <f t="shared" si="54"/>
        <v>9.75</v>
      </c>
      <c r="BUR81" s="28">
        <f t="shared" si="54"/>
        <v>10.75</v>
      </c>
      <c r="BUS81" s="28">
        <f t="shared" si="54"/>
        <v>11.75</v>
      </c>
    </row>
    <row r="82" spans="1901:1917" x14ac:dyDescent="0.3">
      <c r="BUC82" s="18" t="s">
        <v>264</v>
      </c>
      <c r="BUD82" s="18" t="str">
        <f t="shared" ca="1" si="41"/>
        <v>#REF</v>
      </c>
      <c r="BUE82" s="18" t="e">
        <f ca="1" xml:space="preserve"> _xlfn.SHEET(#REF!)</f>
        <v>#REF!</v>
      </c>
      <c r="BUG82" s="18" t="e">
        <f>#REF!</f>
        <v>#REF!</v>
      </c>
      <c r="BUH82" s="28">
        <v>0</v>
      </c>
      <c r="BUI82" s="28">
        <v>0</v>
      </c>
      <c r="BUJ82" s="28">
        <v>0</v>
      </c>
      <c r="BUK82" s="28">
        <v>0</v>
      </c>
      <c r="BUL82" s="28">
        <v>0</v>
      </c>
      <c r="BUM82" s="28">
        <v>0</v>
      </c>
      <c r="BUN82" s="28">
        <v>0</v>
      </c>
      <c r="BUO82" s="28">
        <v>0</v>
      </c>
      <c r="BUP82" s="28">
        <v>0</v>
      </c>
      <c r="BUQ82" s="28">
        <v>0</v>
      </c>
      <c r="BUR82" s="28">
        <v>0</v>
      </c>
      <c r="BUS82" s="28">
        <v>0</v>
      </c>
    </row>
    <row r="83" spans="1901:1917" x14ac:dyDescent="0.3">
      <c r="BUC83" s="18" t="s">
        <v>264</v>
      </c>
      <c r="BUD83" s="18" t="str">
        <f t="shared" ca="1" si="41"/>
        <v>#REF</v>
      </c>
      <c r="BUE83" s="18" t="e">
        <f ca="1" xml:space="preserve"> _xlfn.SHEET(#REF!)</f>
        <v>#REF!</v>
      </c>
      <c r="BUG83" s="18" t="e">
        <f>#REF!</f>
        <v>#REF!</v>
      </c>
      <c r="BUH83" s="28" t="e">
        <f t="shared" ref="BUH83:BUS83" si="55">IF(BUH64=0,"",BUH64)</f>
        <v>#REF!</v>
      </c>
      <c r="BUI83" s="28" t="e">
        <f t="shared" si="55"/>
        <v>#REF!</v>
      </c>
      <c r="BUJ83" s="28" t="e">
        <f t="shared" si="55"/>
        <v>#REF!</v>
      </c>
      <c r="BUK83" s="28" t="e">
        <f t="shared" si="55"/>
        <v>#REF!</v>
      </c>
      <c r="BUL83" s="28" t="e">
        <f t="shared" si="55"/>
        <v>#REF!</v>
      </c>
      <c r="BUM83" s="28" t="e">
        <f t="shared" si="55"/>
        <v>#REF!</v>
      </c>
      <c r="BUN83" s="28" t="e">
        <f t="shared" si="55"/>
        <v>#REF!</v>
      </c>
      <c r="BUO83" s="28" t="e">
        <f t="shared" si="55"/>
        <v>#REF!</v>
      </c>
      <c r="BUP83" s="28" t="e">
        <f t="shared" si="55"/>
        <v>#REF!</v>
      </c>
      <c r="BUQ83" s="28" t="e">
        <f t="shared" si="55"/>
        <v>#REF!</v>
      </c>
      <c r="BUR83" s="28" t="e">
        <f t="shared" si="55"/>
        <v>#REF!</v>
      </c>
      <c r="BUS83" s="28" t="e">
        <f t="shared" si="55"/>
        <v>#REF!</v>
      </c>
    </row>
    <row r="84" spans="1901:1917" x14ac:dyDescent="0.3">
      <c r="BUC84" s="18" t="s">
        <v>264</v>
      </c>
      <c r="BUD84" s="18" t="str">
        <f t="shared" ca="1" si="41"/>
        <v>#REF</v>
      </c>
      <c r="BUE84" s="18" t="e">
        <f ca="1" xml:space="preserve"> _xlfn.SHEET(#REF!)</f>
        <v>#REF!</v>
      </c>
      <c r="BUG84" s="18" t="e">
        <f>#REF!</f>
        <v>#REF!</v>
      </c>
      <c r="BUH84" s="29" t="s">
        <v>268</v>
      </c>
      <c r="BUI84" s="29" t="s">
        <v>268</v>
      </c>
      <c r="BUJ84" s="29" t="s">
        <v>268</v>
      </c>
      <c r="BUK84" s="29" t="s">
        <v>268</v>
      </c>
      <c r="BUL84" s="29" t="s">
        <v>268</v>
      </c>
      <c r="BUM84" s="29" t="s">
        <v>268</v>
      </c>
      <c r="BUN84" s="29" t="s">
        <v>268</v>
      </c>
      <c r="BUO84" s="29" t="s">
        <v>268</v>
      </c>
      <c r="BUP84" s="29" t="s">
        <v>268</v>
      </c>
      <c r="BUQ84" s="29" t="s">
        <v>268</v>
      </c>
      <c r="BUR84" s="29" t="s">
        <v>268</v>
      </c>
      <c r="BUS84" s="29" t="s">
        <v>268</v>
      </c>
    </row>
    <row r="85" spans="1901:1917" x14ac:dyDescent="0.3">
      <c r="BUC85" s="18" t="s">
        <v>264</v>
      </c>
      <c r="BUD85" s="18" t="str">
        <f t="shared" ca="1" si="41"/>
        <v>#REF</v>
      </c>
      <c r="BUE85" s="18" t="e">
        <f ca="1" xml:space="preserve"> _xlfn.SHEET(#REF!)</f>
        <v>#REF!</v>
      </c>
      <c r="BUG85" s="18" t="e">
        <f>#REF!</f>
        <v>#REF!</v>
      </c>
      <c r="BUH85" s="30">
        <f>BUH68-0.23</f>
        <v>0.77</v>
      </c>
      <c r="BUI85" s="30">
        <f t="shared" ref="BUI85:BUS85" si="56">BUI68+0.22</f>
        <v>2.2200000000000002</v>
      </c>
      <c r="BUJ85" s="30">
        <f t="shared" si="56"/>
        <v>3.22</v>
      </c>
      <c r="BUK85" s="30">
        <f t="shared" si="56"/>
        <v>4.22</v>
      </c>
      <c r="BUL85" s="30">
        <f t="shared" si="56"/>
        <v>5.22</v>
      </c>
      <c r="BUM85" s="30">
        <f t="shared" si="56"/>
        <v>6.22</v>
      </c>
      <c r="BUN85" s="30">
        <f t="shared" si="56"/>
        <v>7.22</v>
      </c>
      <c r="BUO85" s="30">
        <f t="shared" si="56"/>
        <v>8.2200000000000006</v>
      </c>
      <c r="BUP85" s="30">
        <f t="shared" si="56"/>
        <v>9.2200000000000006</v>
      </c>
      <c r="BUQ85" s="30">
        <f t="shared" si="56"/>
        <v>10.220000000000001</v>
      </c>
      <c r="BUR85" s="30">
        <f t="shared" si="56"/>
        <v>11.22</v>
      </c>
      <c r="BUS85" s="30">
        <f t="shared" si="56"/>
        <v>12.22</v>
      </c>
    </row>
    <row r="86" spans="1901:1917" x14ac:dyDescent="0.3">
      <c r="BUC86" s="18" t="s">
        <v>264</v>
      </c>
      <c r="BUD86" s="18" t="str">
        <f t="shared" ca="1" si="41"/>
        <v>#REF</v>
      </c>
      <c r="BUE86" s="18" t="e">
        <f ca="1" xml:space="preserve"> _xlfn.SHEET(#REF!)</f>
        <v>#REF!</v>
      </c>
      <c r="BUG86" s="18" t="e">
        <f>#REF!</f>
        <v>#REF!</v>
      </c>
      <c r="BUH86" s="30">
        <v>0</v>
      </c>
      <c r="BUI86" s="30">
        <v>0</v>
      </c>
      <c r="BUJ86" s="30">
        <v>0</v>
      </c>
      <c r="BUK86" s="30">
        <v>0</v>
      </c>
      <c r="BUL86" s="30">
        <v>0</v>
      </c>
      <c r="BUM86" s="30">
        <v>0</v>
      </c>
      <c r="BUN86" s="30">
        <v>0</v>
      </c>
      <c r="BUO86" s="30">
        <v>0</v>
      </c>
      <c r="BUP86" s="30">
        <v>0</v>
      </c>
      <c r="BUQ86" s="30">
        <v>0</v>
      </c>
      <c r="BUR86" s="30">
        <v>0</v>
      </c>
      <c r="BUS86" s="30">
        <v>0</v>
      </c>
    </row>
    <row r="87" spans="1901:1917" x14ac:dyDescent="0.3">
      <c r="BUC87" s="18" t="s">
        <v>264</v>
      </c>
      <c r="BUD87" s="18" t="str">
        <f t="shared" ca="1" si="41"/>
        <v>#REF</v>
      </c>
      <c r="BUE87" s="18" t="e">
        <f ca="1" xml:space="preserve"> _xlfn.SHEET(#REF!)</f>
        <v>#REF!</v>
      </c>
      <c r="BUG87" s="18" t="e">
        <f>#REF!</f>
        <v>#REF!</v>
      </c>
      <c r="BUH87" s="31" t="s">
        <v>269</v>
      </c>
      <c r="BUI87" s="31" t="s">
        <v>269</v>
      </c>
      <c r="BUJ87" s="31" t="s">
        <v>269</v>
      </c>
      <c r="BUK87" s="31" t="s">
        <v>269</v>
      </c>
      <c r="BUL87" s="31" t="s">
        <v>269</v>
      </c>
      <c r="BUM87" s="31" t="s">
        <v>269</v>
      </c>
      <c r="BUN87" s="31" t="s">
        <v>269</v>
      </c>
      <c r="BUO87" s="31" t="s">
        <v>269</v>
      </c>
      <c r="BUP87" s="31" t="s">
        <v>269</v>
      </c>
      <c r="BUQ87" s="31" t="s">
        <v>269</v>
      </c>
      <c r="BUR87" s="31" t="s">
        <v>269</v>
      </c>
      <c r="BUS87" s="31" t="s">
        <v>269</v>
      </c>
    </row>
    <row r="88" spans="1901:1917" x14ac:dyDescent="0.3">
      <c r="BUC88" s="18" t="s">
        <v>264</v>
      </c>
      <c r="BUD88" s="18" t="str">
        <f t="shared" ca="1" si="41"/>
        <v>#REF</v>
      </c>
      <c r="BUE88" s="18" t="e">
        <f ca="1" xml:space="preserve"> _xlfn.SHEET(#REF!)</f>
        <v>#REF!</v>
      </c>
      <c r="BUG88" s="18" t="e">
        <f>#REF!</f>
        <v>#REF!</v>
      </c>
      <c r="BUH88" s="31" t="str">
        <f>CONCATENATE(BUH87," ",BUH89)</f>
        <v>Var 1</v>
      </c>
      <c r="BUI88" s="31" t="str">
        <f t="shared" ref="BUI88:BUS88" si="57">CONCATENATE(BUI87," ",BUI89)</f>
        <v>Var 2</v>
      </c>
      <c r="BUJ88" s="31" t="str">
        <f t="shared" si="57"/>
        <v>Var 3</v>
      </c>
      <c r="BUK88" s="31" t="str">
        <f t="shared" si="57"/>
        <v>Var 4</v>
      </c>
      <c r="BUL88" s="31" t="str">
        <f t="shared" si="57"/>
        <v>Var 5</v>
      </c>
      <c r="BUM88" s="31" t="str">
        <f t="shared" si="57"/>
        <v>Var 6</v>
      </c>
      <c r="BUN88" s="31" t="str">
        <f t="shared" si="57"/>
        <v>Var 7</v>
      </c>
      <c r="BUO88" s="31" t="str">
        <f t="shared" si="57"/>
        <v>Var 8</v>
      </c>
      <c r="BUP88" s="31" t="str">
        <f t="shared" si="57"/>
        <v>Var 9</v>
      </c>
      <c r="BUQ88" s="31" t="str">
        <f t="shared" si="57"/>
        <v>Var 10</v>
      </c>
      <c r="BUR88" s="31" t="str">
        <f t="shared" si="57"/>
        <v>Var 11</v>
      </c>
      <c r="BUS88" s="31" t="str">
        <f t="shared" si="57"/>
        <v>Var 12</v>
      </c>
    </row>
    <row r="89" spans="1901:1917" x14ac:dyDescent="0.3">
      <c r="BUC89" s="18" t="s">
        <v>264</v>
      </c>
      <c r="BUD89" s="18" t="str">
        <f t="shared" ca="1" si="41"/>
        <v>#REF</v>
      </c>
      <c r="BUE89" s="18" t="e">
        <f ca="1" xml:space="preserve"> _xlfn.SHEET(#REF!)</f>
        <v>#REF!</v>
      </c>
      <c r="BUG89" s="18" t="e">
        <f>#REF!</f>
        <v>#REF!</v>
      </c>
      <c r="BUH89" s="32">
        <f>BUH68</f>
        <v>1</v>
      </c>
      <c r="BUI89" s="32">
        <f t="shared" ref="BUI89:BUS89" si="58">BUI68</f>
        <v>2</v>
      </c>
      <c r="BUJ89" s="32">
        <f t="shared" si="58"/>
        <v>3</v>
      </c>
      <c r="BUK89" s="32">
        <f t="shared" si="58"/>
        <v>4</v>
      </c>
      <c r="BUL89" s="32">
        <f t="shared" si="58"/>
        <v>5</v>
      </c>
      <c r="BUM89" s="32">
        <f t="shared" si="58"/>
        <v>6</v>
      </c>
      <c r="BUN89" s="32">
        <f t="shared" si="58"/>
        <v>7</v>
      </c>
      <c r="BUO89" s="32">
        <f t="shared" si="58"/>
        <v>8</v>
      </c>
      <c r="BUP89" s="32">
        <f t="shared" si="58"/>
        <v>9</v>
      </c>
      <c r="BUQ89" s="32">
        <f t="shared" si="58"/>
        <v>10</v>
      </c>
      <c r="BUR89" s="32">
        <f t="shared" si="58"/>
        <v>11</v>
      </c>
      <c r="BUS89" s="32">
        <f t="shared" si="58"/>
        <v>12</v>
      </c>
    </row>
    <row r="90" spans="1901:1917" x14ac:dyDescent="0.3">
      <c r="BUC90" s="18" t="s">
        <v>264</v>
      </c>
      <c r="BUD90" s="18" t="str">
        <f t="shared" ca="1" si="41"/>
        <v>#REF</v>
      </c>
      <c r="BUE90" s="18" t="e">
        <f ca="1" xml:space="preserve"> _xlfn.SHEET(#REF!)</f>
        <v>#REF!</v>
      </c>
      <c r="BUG90" s="18" t="e">
        <f>#REF!</f>
        <v>#REF!</v>
      </c>
      <c r="BUH90" s="33" t="e">
        <f t="shared" ref="BUH90:BUS90" si="59">MAX(BUH63:BUH64)</f>
        <v>#REF!</v>
      </c>
      <c r="BUI90" s="33" t="e">
        <f t="shared" si="59"/>
        <v>#REF!</v>
      </c>
      <c r="BUJ90" s="33" t="e">
        <f t="shared" si="59"/>
        <v>#REF!</v>
      </c>
      <c r="BUK90" s="33" t="e">
        <f t="shared" si="59"/>
        <v>#REF!</v>
      </c>
      <c r="BUL90" s="33" t="e">
        <f t="shared" si="59"/>
        <v>#REF!</v>
      </c>
      <c r="BUM90" s="33" t="e">
        <f t="shared" si="59"/>
        <v>#REF!</v>
      </c>
      <c r="BUN90" s="33" t="e">
        <f t="shared" si="59"/>
        <v>#REF!</v>
      </c>
      <c r="BUO90" s="33" t="e">
        <f t="shared" si="59"/>
        <v>#REF!</v>
      </c>
      <c r="BUP90" s="33" t="e">
        <f t="shared" si="59"/>
        <v>#REF!</v>
      </c>
      <c r="BUQ90" s="33" t="e">
        <f t="shared" si="59"/>
        <v>#REF!</v>
      </c>
      <c r="BUR90" s="33" t="e">
        <f t="shared" si="59"/>
        <v>#REF!</v>
      </c>
      <c r="BUS90" s="33" t="e">
        <f t="shared" si="59"/>
        <v>#REF!</v>
      </c>
    </row>
    <row r="91" spans="1901:1917" x14ac:dyDescent="0.3">
      <c r="BUC91" s="18" t="s">
        <v>264</v>
      </c>
      <c r="BUD91" s="18" t="str">
        <f t="shared" ca="1" si="41"/>
        <v>#REF</v>
      </c>
      <c r="BUE91" s="18" t="e">
        <f ca="1" xml:space="preserve"> _xlfn.SHEET(#REF!)</f>
        <v>#REF!</v>
      </c>
      <c r="BUG91" s="18" t="e">
        <f>#REF!</f>
        <v>#REF!</v>
      </c>
      <c r="BUH91" s="34" t="e">
        <f t="shared" ref="BUH91:BUS91" si="60">IF(BUH64-BUH63=0,"",BUH64-BUH63)</f>
        <v>#REF!</v>
      </c>
      <c r="BUI91" s="34" t="e">
        <f t="shared" si="60"/>
        <v>#REF!</v>
      </c>
      <c r="BUJ91" s="34" t="e">
        <f t="shared" si="60"/>
        <v>#REF!</v>
      </c>
      <c r="BUK91" s="34" t="e">
        <f t="shared" si="60"/>
        <v>#REF!</v>
      </c>
      <c r="BUL91" s="34" t="e">
        <f t="shared" si="60"/>
        <v>#REF!</v>
      </c>
      <c r="BUM91" s="34" t="e">
        <f t="shared" si="60"/>
        <v>#REF!</v>
      </c>
      <c r="BUN91" s="34" t="e">
        <f t="shared" si="60"/>
        <v>#REF!</v>
      </c>
      <c r="BUO91" s="34" t="e">
        <f t="shared" si="60"/>
        <v>#REF!</v>
      </c>
      <c r="BUP91" s="34" t="e">
        <f t="shared" si="60"/>
        <v>#REF!</v>
      </c>
      <c r="BUQ91" s="34" t="e">
        <f t="shared" si="60"/>
        <v>#REF!</v>
      </c>
      <c r="BUR91" s="34" t="e">
        <f t="shared" si="60"/>
        <v>#REF!</v>
      </c>
      <c r="BUS91" s="34" t="e">
        <f t="shared" si="60"/>
        <v>#REF!</v>
      </c>
    </row>
    <row r="92" spans="1901:1917" x14ac:dyDescent="0.3">
      <c r="BUC92" s="18" t="s">
        <v>264</v>
      </c>
      <c r="BUD92" s="18" t="str">
        <f ca="1">SUBSTITUTE(MID(_xlfn.FORMULATEXT(BUG92),2,FIND("!",_xlfn.FORMULATEXT(BUG92),1)-2), "'","")</f>
        <v>calc</v>
      </c>
      <c r="BUE92" s="18">
        <f ca="1">_xlfn.SHEET( calc!$NTP$1000000)</f>
        <v>6</v>
      </c>
      <c r="BUG92" s="18">
        <f>calc!$NTP$1000000</f>
        <v>0</v>
      </c>
    </row>
    <row r="93" spans="1901:1917" x14ac:dyDescent="0.3">
      <c r="BUC93" s="18" t="s">
        <v>264</v>
      </c>
      <c r="BUD93" s="18" t="str">
        <f t="shared" ref="BUD93:BUD121" ca="1" si="61">SUBSTITUTE(MID(_xlfn.FORMULATEXT(BUG93),2,FIND("!",_xlfn.FORMULATEXT(BUG93),1)-2), "'","")</f>
        <v>calc</v>
      </c>
      <c r="BUE93" s="18">
        <f ca="1">_xlfn.SHEET( calc!$NTP$1000000)</f>
        <v>6</v>
      </c>
      <c r="BUG93" s="18">
        <f>calc!$NTP$1000000</f>
        <v>0</v>
      </c>
      <c r="BUH93" s="179">
        <f>calc!$T$5</f>
        <v>3878375</v>
      </c>
      <c r="BUI93" s="179">
        <f>calc!$U$5</f>
        <v>4213766.25</v>
      </c>
      <c r="BUJ93" s="179">
        <f>calc!$V$5</f>
        <v>4436387.0750000002</v>
      </c>
      <c r="BUK93" s="179">
        <f>calc!$W$5</f>
        <v>5049956.3133333325</v>
      </c>
      <c r="BUL93" s="179">
        <f>calc!$X$5</f>
        <v>5450505.0679166652</v>
      </c>
      <c r="BUM93" s="18">
        <f>calc!$Y$5</f>
        <v>0</v>
      </c>
      <c r="BUN93" s="18">
        <f>calc!$Z$5</f>
        <v>0</v>
      </c>
      <c r="BUO93" s="18">
        <f>calc!$AA$5</f>
        <v>0</v>
      </c>
      <c r="BUP93" s="18">
        <f>calc!$AB$5</f>
        <v>0</v>
      </c>
      <c r="BUQ93" s="18">
        <f>calc!$AC$5</f>
        <v>0</v>
      </c>
      <c r="BUR93" s="18">
        <f>calc!$AD$5</f>
        <v>0</v>
      </c>
      <c r="BUS93" s="18">
        <f>calc!$AE$5</f>
        <v>0</v>
      </c>
    </row>
    <row r="94" spans="1901:1917" x14ac:dyDescent="0.3">
      <c r="BUC94" s="18" t="s">
        <v>264</v>
      </c>
      <c r="BUD94" s="18" t="str">
        <f t="shared" ca="1" si="61"/>
        <v>calc</v>
      </c>
      <c r="BUE94" s="18">
        <f ca="1">_xlfn.SHEET( calc!$NTP$1000000)</f>
        <v>6</v>
      </c>
      <c r="BUG94" s="18">
        <f>calc!$NTP$1000000</f>
        <v>0</v>
      </c>
      <c r="BUH94" s="179">
        <f>calc!$T$6</f>
        <v>3880822.5</v>
      </c>
      <c r="BUI94" s="179">
        <f>calc!$U$6</f>
        <v>3836197.5</v>
      </c>
      <c r="BUJ94" s="179">
        <f>calc!$V$6</f>
        <v>3695136.375</v>
      </c>
      <c r="BUK94" s="179">
        <f>calc!$W$6</f>
        <v>4272841.6500000004</v>
      </c>
      <c r="BUL94" s="179">
        <f>calc!$X$6</f>
        <v>4209841.6500000004</v>
      </c>
      <c r="BUM94" s="18">
        <f>calc!$Y$6</f>
        <v>0</v>
      </c>
      <c r="BUN94" s="18">
        <f>calc!$Z$6</f>
        <v>0</v>
      </c>
      <c r="BUO94" s="18">
        <f>calc!$AA$6</f>
        <v>0</v>
      </c>
      <c r="BUP94" s="18">
        <f>calc!$AB$6</f>
        <v>0</v>
      </c>
      <c r="BUQ94" s="18">
        <f>calc!$AC$6</f>
        <v>0</v>
      </c>
      <c r="BUR94" s="18">
        <f>calc!$AD$6</f>
        <v>0</v>
      </c>
      <c r="BUS94" s="18">
        <f>calc!$AE$6</f>
        <v>0</v>
      </c>
    </row>
    <row r="95" spans="1901:1917" x14ac:dyDescent="0.3">
      <c r="BUC95" s="18" t="s">
        <v>264</v>
      </c>
      <c r="BUD95" s="18" t="str">
        <f t="shared" ca="1" si="61"/>
        <v>calc</v>
      </c>
      <c r="BUE95" s="18">
        <f ca="1">_xlfn.SHEET( calc!$NTP$1000000)</f>
        <v>6</v>
      </c>
      <c r="BUG95" s="18">
        <f>calc!$NTP$1000000</f>
        <v>0</v>
      </c>
      <c r="BUH95" s="22" t="s">
        <v>265</v>
      </c>
    </row>
    <row r="96" spans="1901:1917" x14ac:dyDescent="0.3">
      <c r="BUC96" s="18" t="s">
        <v>264</v>
      </c>
      <c r="BUD96" s="18" t="str">
        <f t="shared" ca="1" si="61"/>
        <v>calc</v>
      </c>
      <c r="BUE96" s="18">
        <f ca="1">_xlfn.SHEET( calc!$NTP$1000000)</f>
        <v>6</v>
      </c>
      <c r="BUG96" s="18">
        <f>calc!$NTP$1000000</f>
        <v>0</v>
      </c>
      <c r="BUH96" s="23" t="s">
        <v>83</v>
      </c>
      <c r="BUI96" s="23" t="s">
        <v>83</v>
      </c>
      <c r="BUJ96" s="23" t="s">
        <v>83</v>
      </c>
      <c r="BUK96" s="23" t="s">
        <v>83</v>
      </c>
      <c r="BUL96" s="23" t="s">
        <v>83</v>
      </c>
      <c r="BUM96" s="23" t="s">
        <v>83</v>
      </c>
      <c r="BUN96" s="23" t="s">
        <v>83</v>
      </c>
      <c r="BUO96" s="23" t="s">
        <v>83</v>
      </c>
      <c r="BUP96" s="23" t="s">
        <v>83</v>
      </c>
      <c r="BUQ96" s="23" t="s">
        <v>83</v>
      </c>
      <c r="BUR96" s="23" t="s">
        <v>83</v>
      </c>
      <c r="BUS96" s="23" t="s">
        <v>83</v>
      </c>
    </row>
    <row r="97" spans="1901:1917" x14ac:dyDescent="0.3">
      <c r="BUC97" s="18" t="s">
        <v>264</v>
      </c>
      <c r="BUD97" s="18" t="str">
        <f t="shared" ca="1" si="61"/>
        <v>calc</v>
      </c>
      <c r="BUE97" s="18">
        <f ca="1">_xlfn.SHEET( calc!$NTP$1000000)</f>
        <v>6</v>
      </c>
      <c r="BUG97" s="18">
        <f>calc!$NTP$1000000</f>
        <v>0</v>
      </c>
      <c r="BUH97" s="23" t="str">
        <f>CONCATENATE(BUH96," ",BUH98)</f>
        <v>Green 1</v>
      </c>
      <c r="BUI97" s="23" t="str">
        <f t="shared" ref="BUI97:BUS97" si="62">CONCATENATE(BUI96," ",BUI98)</f>
        <v>Green 2</v>
      </c>
      <c r="BUJ97" s="23" t="str">
        <f t="shared" si="62"/>
        <v>Green 3</v>
      </c>
      <c r="BUK97" s="23" t="str">
        <f t="shared" si="62"/>
        <v>Green 4</v>
      </c>
      <c r="BUL97" s="23" t="str">
        <f t="shared" si="62"/>
        <v>Green 5</v>
      </c>
      <c r="BUM97" s="23" t="str">
        <f t="shared" si="62"/>
        <v>Green 6</v>
      </c>
      <c r="BUN97" s="23" t="str">
        <f t="shared" si="62"/>
        <v>Green 7</v>
      </c>
      <c r="BUO97" s="23" t="str">
        <f t="shared" si="62"/>
        <v>Green 8</v>
      </c>
      <c r="BUP97" s="23" t="str">
        <f t="shared" si="62"/>
        <v>Green 9</v>
      </c>
      <c r="BUQ97" s="23" t="str">
        <f t="shared" si="62"/>
        <v>Green 10</v>
      </c>
      <c r="BUR97" s="23" t="str">
        <f t="shared" si="62"/>
        <v>Green 11</v>
      </c>
      <c r="BUS97" s="23" t="str">
        <f t="shared" si="62"/>
        <v>Green 12</v>
      </c>
    </row>
    <row r="98" spans="1901:1917" x14ac:dyDescent="0.3">
      <c r="BUC98" s="18" t="s">
        <v>264</v>
      </c>
      <c r="BUD98" s="18" t="str">
        <f t="shared" ca="1" si="61"/>
        <v>calc</v>
      </c>
      <c r="BUE98" s="18">
        <f ca="1">_xlfn.SHEET( calc!$NTP$1000000)</f>
        <v>6</v>
      </c>
      <c r="BUG98" s="18">
        <f>calc!$NTP$1000000</f>
        <v>0</v>
      </c>
      <c r="BUH98" s="24">
        <v>1</v>
      </c>
      <c r="BUI98" s="24">
        <f t="shared" ref="BUI98:BUS98" si="63">BUH98+1</f>
        <v>2</v>
      </c>
      <c r="BUJ98" s="24">
        <f t="shared" si="63"/>
        <v>3</v>
      </c>
      <c r="BUK98" s="24">
        <f t="shared" si="63"/>
        <v>4</v>
      </c>
      <c r="BUL98" s="24">
        <f t="shared" si="63"/>
        <v>5</v>
      </c>
      <c r="BUM98" s="24">
        <f t="shared" si="63"/>
        <v>6</v>
      </c>
      <c r="BUN98" s="24">
        <f t="shared" si="63"/>
        <v>7</v>
      </c>
      <c r="BUO98" s="24">
        <f t="shared" si="63"/>
        <v>8</v>
      </c>
      <c r="BUP98" s="24">
        <f t="shared" si="63"/>
        <v>9</v>
      </c>
      <c r="BUQ98" s="24">
        <f t="shared" si="63"/>
        <v>10</v>
      </c>
      <c r="BUR98" s="24">
        <f t="shared" si="63"/>
        <v>11</v>
      </c>
      <c r="BUS98" s="24">
        <f t="shared" si="63"/>
        <v>12</v>
      </c>
    </row>
    <row r="99" spans="1901:1917" x14ac:dyDescent="0.3">
      <c r="BUC99" s="18" t="s">
        <v>264</v>
      </c>
      <c r="BUD99" s="18" t="str">
        <f t="shared" ca="1" si="61"/>
        <v>calc</v>
      </c>
      <c r="BUE99" s="18">
        <f ca="1">_xlfn.SHEET( calc!$NTP$1000000)</f>
        <v>6</v>
      </c>
      <c r="BUG99" s="18">
        <f>calc!$NTP$1000000</f>
        <v>0</v>
      </c>
      <c r="BUH99" s="24">
        <f>BUH98</f>
        <v>1</v>
      </c>
      <c r="BUI99" s="24">
        <f t="shared" ref="BUI99:BUS99" si="64">BUI98</f>
        <v>2</v>
      </c>
      <c r="BUJ99" s="24">
        <f t="shared" si="64"/>
        <v>3</v>
      </c>
      <c r="BUK99" s="24">
        <f t="shared" si="64"/>
        <v>4</v>
      </c>
      <c r="BUL99" s="24">
        <f t="shared" si="64"/>
        <v>5</v>
      </c>
      <c r="BUM99" s="24">
        <f t="shared" si="64"/>
        <v>6</v>
      </c>
      <c r="BUN99" s="24">
        <f t="shared" si="64"/>
        <v>7</v>
      </c>
      <c r="BUO99" s="24">
        <f t="shared" si="64"/>
        <v>8</v>
      </c>
      <c r="BUP99" s="24">
        <f t="shared" si="64"/>
        <v>9</v>
      </c>
      <c r="BUQ99" s="24">
        <f t="shared" si="64"/>
        <v>10</v>
      </c>
      <c r="BUR99" s="24">
        <f t="shared" si="64"/>
        <v>11</v>
      </c>
      <c r="BUS99" s="24">
        <f t="shared" si="64"/>
        <v>12</v>
      </c>
    </row>
    <row r="100" spans="1901:1917" x14ac:dyDescent="0.3">
      <c r="BUC100" s="18" t="s">
        <v>264</v>
      </c>
      <c r="BUD100" s="18" t="str">
        <f t="shared" ca="1" si="61"/>
        <v>calc</v>
      </c>
      <c r="BUE100" s="18">
        <f ca="1">_xlfn.SHEET( calc!$NTP$1000000)</f>
        <v>6</v>
      </c>
      <c r="BUG100" s="18">
        <f>calc!$NTP$1000000</f>
        <v>0</v>
      </c>
      <c r="BUH100" s="178">
        <f>IF(BUH94&gt;BUH93,BUH94,0)</f>
        <v>3880822.5</v>
      </c>
      <c r="BUI100" s="24">
        <f>IF(BUI94&gt;BUI93,BUI93,0)</f>
        <v>0</v>
      </c>
      <c r="BUJ100" s="24">
        <f t="shared" ref="BUJ100:BUS100" si="65">IF(BUJ94&gt;BUJ93,BUJ93,0)</f>
        <v>0</v>
      </c>
      <c r="BUK100" s="24">
        <f t="shared" si="65"/>
        <v>0</v>
      </c>
      <c r="BUL100" s="24">
        <f t="shared" si="65"/>
        <v>0</v>
      </c>
      <c r="BUM100" s="24">
        <f t="shared" si="65"/>
        <v>0</v>
      </c>
      <c r="BUN100" s="24">
        <f t="shared" si="65"/>
        <v>0</v>
      </c>
      <c r="BUO100" s="24">
        <f t="shared" si="65"/>
        <v>0</v>
      </c>
      <c r="BUP100" s="24">
        <f t="shared" si="65"/>
        <v>0</v>
      </c>
      <c r="BUQ100" s="24">
        <f t="shared" si="65"/>
        <v>0</v>
      </c>
      <c r="BUR100" s="24">
        <f t="shared" si="65"/>
        <v>0</v>
      </c>
      <c r="BUS100" s="24">
        <f t="shared" si="65"/>
        <v>0</v>
      </c>
    </row>
    <row r="101" spans="1901:1917" x14ac:dyDescent="0.3">
      <c r="BUC101" s="18" t="s">
        <v>264</v>
      </c>
      <c r="BUD101" s="18" t="str">
        <f t="shared" ca="1" si="61"/>
        <v>calc</v>
      </c>
      <c r="BUE101" s="18">
        <f ca="1">_xlfn.SHEET( calc!$NTP$1000000)</f>
        <v>6</v>
      </c>
      <c r="BUG101" s="18">
        <f>calc!$NTP$1000000</f>
        <v>0</v>
      </c>
      <c r="BUH101" s="178">
        <f>IF(BUH94&gt;BUH93,BUH94,0)</f>
        <v>3880822.5</v>
      </c>
      <c r="BUI101" s="24">
        <f>IF(BUI94&gt;BUI93,BUI94,0)</f>
        <v>0</v>
      </c>
      <c r="BUJ101" s="24">
        <f t="shared" ref="BUJ101:BUS101" si="66">IF(BUJ94&gt;BUJ93,BUJ94,0)</f>
        <v>0</v>
      </c>
      <c r="BUK101" s="24">
        <f t="shared" si="66"/>
        <v>0</v>
      </c>
      <c r="BUL101" s="24">
        <f t="shared" si="66"/>
        <v>0</v>
      </c>
      <c r="BUM101" s="24">
        <f t="shared" si="66"/>
        <v>0</v>
      </c>
      <c r="BUN101" s="24">
        <f t="shared" si="66"/>
        <v>0</v>
      </c>
      <c r="BUO101" s="24">
        <f t="shared" si="66"/>
        <v>0</v>
      </c>
      <c r="BUP101" s="24">
        <f t="shared" si="66"/>
        <v>0</v>
      </c>
      <c r="BUQ101" s="24">
        <f t="shared" si="66"/>
        <v>0</v>
      </c>
      <c r="BUR101" s="24">
        <f t="shared" si="66"/>
        <v>0</v>
      </c>
      <c r="BUS101" s="24">
        <f t="shared" si="66"/>
        <v>0</v>
      </c>
    </row>
    <row r="102" spans="1901:1917" x14ac:dyDescent="0.3">
      <c r="BUC102" s="18" t="s">
        <v>264</v>
      </c>
      <c r="BUD102" s="18" t="str">
        <f t="shared" ca="1" si="61"/>
        <v>calc</v>
      </c>
      <c r="BUE102" s="18">
        <f ca="1">_xlfn.SHEET( calc!$NTP$1000000)</f>
        <v>6</v>
      </c>
      <c r="BUG102" s="18">
        <f>calc!$NTP$1000000</f>
        <v>0</v>
      </c>
      <c r="BUH102" s="25" t="s">
        <v>266</v>
      </c>
      <c r="BUI102" s="25" t="s">
        <v>266</v>
      </c>
      <c r="BUJ102" s="25" t="s">
        <v>266</v>
      </c>
      <c r="BUK102" s="25" t="s">
        <v>266</v>
      </c>
      <c r="BUL102" s="25" t="s">
        <v>266</v>
      </c>
      <c r="BUM102" s="25" t="s">
        <v>266</v>
      </c>
      <c r="BUN102" s="25" t="s">
        <v>266</v>
      </c>
      <c r="BUO102" s="25" t="s">
        <v>266</v>
      </c>
      <c r="BUP102" s="25" t="s">
        <v>266</v>
      </c>
      <c r="BUQ102" s="25" t="s">
        <v>266</v>
      </c>
      <c r="BUR102" s="25" t="s">
        <v>266</v>
      </c>
      <c r="BUS102" s="25" t="s">
        <v>266</v>
      </c>
    </row>
    <row r="103" spans="1901:1917" x14ac:dyDescent="0.3">
      <c r="BUC103" s="18" t="s">
        <v>264</v>
      </c>
      <c r="BUD103" s="18" t="str">
        <f t="shared" ca="1" si="61"/>
        <v>calc</v>
      </c>
      <c r="BUE103" s="18">
        <f ca="1">_xlfn.SHEET( calc!$NTP$1000000)</f>
        <v>6</v>
      </c>
      <c r="BUG103" s="18">
        <f>calc!$NTP$1000000</f>
        <v>0</v>
      </c>
      <c r="BUH103" s="25" t="str">
        <f>CONCATENATE(BUH102," ",BUH104)</f>
        <v>Red 1</v>
      </c>
      <c r="BUI103" s="25" t="str">
        <f t="shared" ref="BUI103:BUS103" si="67">CONCATENATE(BUI102," ",BUI104)</f>
        <v>Red 2</v>
      </c>
      <c r="BUJ103" s="25" t="str">
        <f t="shared" si="67"/>
        <v>Red 3</v>
      </c>
      <c r="BUK103" s="25" t="str">
        <f t="shared" si="67"/>
        <v>Red 4</v>
      </c>
      <c r="BUL103" s="25" t="str">
        <f t="shared" si="67"/>
        <v>Red 5</v>
      </c>
      <c r="BUM103" s="25" t="str">
        <f t="shared" si="67"/>
        <v>Red 6</v>
      </c>
      <c r="BUN103" s="25" t="str">
        <f t="shared" si="67"/>
        <v>Red 7</v>
      </c>
      <c r="BUO103" s="25" t="str">
        <f t="shared" si="67"/>
        <v>Red 8</v>
      </c>
      <c r="BUP103" s="25" t="str">
        <f t="shared" si="67"/>
        <v>Red 9</v>
      </c>
      <c r="BUQ103" s="25" t="str">
        <f t="shared" si="67"/>
        <v>Red 10</v>
      </c>
      <c r="BUR103" s="25" t="str">
        <f t="shared" si="67"/>
        <v>Red 11</v>
      </c>
      <c r="BUS103" s="25" t="str">
        <f t="shared" si="67"/>
        <v>Red 12</v>
      </c>
    </row>
    <row r="104" spans="1901:1917" x14ac:dyDescent="0.3">
      <c r="BUC104" s="18" t="s">
        <v>264</v>
      </c>
      <c r="BUD104" s="18" t="str">
        <f t="shared" ca="1" si="61"/>
        <v>calc</v>
      </c>
      <c r="BUE104" s="18">
        <f ca="1">_xlfn.SHEET( calc!$NTP$1000000)</f>
        <v>6</v>
      </c>
      <c r="BUG104" s="18">
        <f>calc!$NTP$1000000</f>
        <v>0</v>
      </c>
      <c r="BUH104" s="26">
        <f>BUH98</f>
        <v>1</v>
      </c>
      <c r="BUI104" s="26">
        <f t="shared" ref="BUI104:BUS104" si="68">BUI98</f>
        <v>2</v>
      </c>
      <c r="BUJ104" s="26">
        <f t="shared" si="68"/>
        <v>3</v>
      </c>
      <c r="BUK104" s="26">
        <f t="shared" si="68"/>
        <v>4</v>
      </c>
      <c r="BUL104" s="26">
        <f t="shared" si="68"/>
        <v>5</v>
      </c>
      <c r="BUM104" s="26">
        <f t="shared" si="68"/>
        <v>6</v>
      </c>
      <c r="BUN104" s="26">
        <f t="shared" si="68"/>
        <v>7</v>
      </c>
      <c r="BUO104" s="26">
        <f t="shared" si="68"/>
        <v>8</v>
      </c>
      <c r="BUP104" s="26">
        <f t="shared" si="68"/>
        <v>9</v>
      </c>
      <c r="BUQ104" s="26">
        <f t="shared" si="68"/>
        <v>10</v>
      </c>
      <c r="BUR104" s="26">
        <f t="shared" si="68"/>
        <v>11</v>
      </c>
      <c r="BUS104" s="26">
        <f t="shared" si="68"/>
        <v>12</v>
      </c>
    </row>
    <row r="105" spans="1901:1917" x14ac:dyDescent="0.3">
      <c r="BUC105" s="18" t="s">
        <v>264</v>
      </c>
      <c r="BUD105" s="18" t="str">
        <f t="shared" ca="1" si="61"/>
        <v>calc</v>
      </c>
      <c r="BUE105" s="18">
        <f ca="1">_xlfn.SHEET( calc!$NTP$1000000)</f>
        <v>6</v>
      </c>
      <c r="BUG105" s="18">
        <f>calc!$NTP$1000000</f>
        <v>0</v>
      </c>
      <c r="BUH105" s="26">
        <f>BUH98</f>
        <v>1</v>
      </c>
      <c r="BUI105" s="26">
        <f t="shared" ref="BUI105:BUS105" si="69">BUI98</f>
        <v>2</v>
      </c>
      <c r="BUJ105" s="26">
        <f t="shared" si="69"/>
        <v>3</v>
      </c>
      <c r="BUK105" s="26">
        <f t="shared" si="69"/>
        <v>4</v>
      </c>
      <c r="BUL105" s="26">
        <f t="shared" si="69"/>
        <v>5</v>
      </c>
      <c r="BUM105" s="26">
        <f t="shared" si="69"/>
        <v>6</v>
      </c>
      <c r="BUN105" s="26">
        <f t="shared" si="69"/>
        <v>7</v>
      </c>
      <c r="BUO105" s="26">
        <f t="shared" si="69"/>
        <v>8</v>
      </c>
      <c r="BUP105" s="26">
        <f t="shared" si="69"/>
        <v>9</v>
      </c>
      <c r="BUQ105" s="26">
        <f t="shared" si="69"/>
        <v>10</v>
      </c>
      <c r="BUR105" s="26">
        <f t="shared" si="69"/>
        <v>11</v>
      </c>
      <c r="BUS105" s="26">
        <f t="shared" si="69"/>
        <v>12</v>
      </c>
    </row>
    <row r="106" spans="1901:1917" x14ac:dyDescent="0.3">
      <c r="BUC106" s="18" t="s">
        <v>264</v>
      </c>
      <c r="BUD106" s="18" t="str">
        <f t="shared" ca="1" si="61"/>
        <v>calc</v>
      </c>
      <c r="BUE106" s="18">
        <f ca="1">_xlfn.SHEET( calc!$NTP$1000000)</f>
        <v>6</v>
      </c>
      <c r="BUG106" s="18">
        <f>calc!$NTP$1000000</f>
        <v>0</v>
      </c>
      <c r="BUH106" s="177">
        <f>IF(BUH93&lt;BUH94,BUH94,0)</f>
        <v>3880822.5</v>
      </c>
      <c r="BUI106" s="177">
        <f>IF(BUI93&gt;BUI94,BUI93,0)</f>
        <v>4213766.25</v>
      </c>
      <c r="BUJ106" s="177">
        <f>IF(BUJ93&gt;BUJ94,BUJ93,0)</f>
        <v>4436387.0750000002</v>
      </c>
      <c r="BUK106" s="177">
        <f>IF(BUK93&gt;BUK94,BUK93,0)</f>
        <v>5049956.3133333325</v>
      </c>
      <c r="BUL106" s="177">
        <f>IF(BUL93&gt;BUL94,BUL93,0)</f>
        <v>5450505.0679166652</v>
      </c>
      <c r="BUM106" s="26">
        <f t="shared" ref="BUM106:BUS106" si="70">IF(BUM93&gt;BUM94,BUM93,0)</f>
        <v>0</v>
      </c>
      <c r="BUN106" s="26">
        <f t="shared" si="70"/>
        <v>0</v>
      </c>
      <c r="BUO106" s="26">
        <f t="shared" si="70"/>
        <v>0</v>
      </c>
      <c r="BUP106" s="26">
        <f t="shared" si="70"/>
        <v>0</v>
      </c>
      <c r="BUQ106" s="26">
        <f t="shared" si="70"/>
        <v>0</v>
      </c>
      <c r="BUR106" s="26">
        <f t="shared" si="70"/>
        <v>0</v>
      </c>
      <c r="BUS106" s="26">
        <f t="shared" si="70"/>
        <v>0</v>
      </c>
    </row>
    <row r="107" spans="1901:1917" x14ac:dyDescent="0.3">
      <c r="BUC107" s="18" t="s">
        <v>264</v>
      </c>
      <c r="BUD107" s="18" t="str">
        <f t="shared" ca="1" si="61"/>
        <v>calc</v>
      </c>
      <c r="BUE107" s="18">
        <f ca="1">_xlfn.SHEET( calc!$NTP$1000000)</f>
        <v>6</v>
      </c>
      <c r="BUG107" s="18">
        <f>calc!$NTP$1000000</f>
        <v>0</v>
      </c>
      <c r="BUH107" s="177">
        <f>IF(BUH93&lt;BUH94,BUH93,0)</f>
        <v>3878375</v>
      </c>
      <c r="BUI107" s="177">
        <f>IF(BUI93&gt;BUI94,BUI94,0)</f>
        <v>3836197.5</v>
      </c>
      <c r="BUJ107" s="177">
        <f>IF(BUJ93&gt;BUJ94,BUJ94,0)</f>
        <v>3695136.375</v>
      </c>
      <c r="BUK107" s="177">
        <f>IF(BUK93&gt;BUK94,BUK94,0)</f>
        <v>4272841.6500000004</v>
      </c>
      <c r="BUL107" s="177">
        <f>IF(BUL93&gt;BUL94,BUL94,0)</f>
        <v>4209841.6500000004</v>
      </c>
      <c r="BUM107" s="26">
        <f t="shared" ref="BUM107:BUS107" si="71">IF(BUM93&gt;BUM94,BUM94,0)</f>
        <v>0</v>
      </c>
      <c r="BUN107" s="26">
        <f t="shared" si="71"/>
        <v>0</v>
      </c>
      <c r="BUO107" s="26">
        <f t="shared" si="71"/>
        <v>0</v>
      </c>
      <c r="BUP107" s="26">
        <f t="shared" si="71"/>
        <v>0</v>
      </c>
      <c r="BUQ107" s="26">
        <f t="shared" si="71"/>
        <v>0</v>
      </c>
      <c r="BUR107" s="26">
        <f t="shared" si="71"/>
        <v>0</v>
      </c>
      <c r="BUS107" s="26">
        <f t="shared" si="71"/>
        <v>0</v>
      </c>
    </row>
    <row r="108" spans="1901:1917" x14ac:dyDescent="0.3">
      <c r="BUC108" s="18" t="s">
        <v>264</v>
      </c>
      <c r="BUD108" s="18" t="str">
        <f t="shared" ca="1" si="61"/>
        <v>calc</v>
      </c>
      <c r="BUE108" s="18">
        <f ca="1">_xlfn.SHEET( calc!$NTP$1000000)</f>
        <v>6</v>
      </c>
      <c r="BUG108" s="18">
        <f>calc!$NTP$1000000</f>
        <v>0</v>
      </c>
      <c r="BUH108" s="27" t="s">
        <v>267</v>
      </c>
      <c r="BUI108" s="27" t="s">
        <v>267</v>
      </c>
      <c r="BUJ108" s="27" t="s">
        <v>267</v>
      </c>
      <c r="BUK108" s="27" t="s">
        <v>267</v>
      </c>
      <c r="BUL108" s="27" t="s">
        <v>267</v>
      </c>
      <c r="BUM108" s="27" t="s">
        <v>267</v>
      </c>
      <c r="BUN108" s="27" t="s">
        <v>267</v>
      </c>
      <c r="BUO108" s="27" t="s">
        <v>267</v>
      </c>
      <c r="BUP108" s="27" t="s">
        <v>267</v>
      </c>
      <c r="BUQ108" s="27" t="s">
        <v>267</v>
      </c>
      <c r="BUR108" s="27" t="s">
        <v>267</v>
      </c>
      <c r="BUS108" s="27" t="s">
        <v>267</v>
      </c>
    </row>
    <row r="109" spans="1901:1917" x14ac:dyDescent="0.3">
      <c r="BUC109" s="18" t="s">
        <v>264</v>
      </c>
      <c r="BUD109" s="18" t="str">
        <f t="shared" ca="1" si="61"/>
        <v>calc</v>
      </c>
      <c r="BUE109" s="18">
        <f ca="1">_xlfn.SHEET( calc!$NTP$1000000)</f>
        <v>6</v>
      </c>
      <c r="BUG109" s="18">
        <f>calc!$NTP$1000000</f>
        <v>0</v>
      </c>
      <c r="BUH109" s="27" t="str">
        <f>CONCATENATE(BUH108," ",BUH98)</f>
        <v>Actual 1</v>
      </c>
      <c r="BUI109" s="27" t="str">
        <f t="shared" ref="BUI109:BUS109" si="72">CONCATENATE(BUI108," ",BUI98)</f>
        <v>Actual 2</v>
      </c>
      <c r="BUJ109" s="27" t="str">
        <f t="shared" si="72"/>
        <v>Actual 3</v>
      </c>
      <c r="BUK109" s="27" t="str">
        <f t="shared" si="72"/>
        <v>Actual 4</v>
      </c>
      <c r="BUL109" s="27" t="str">
        <f t="shared" si="72"/>
        <v>Actual 5</v>
      </c>
      <c r="BUM109" s="27" t="str">
        <f t="shared" si="72"/>
        <v>Actual 6</v>
      </c>
      <c r="BUN109" s="27" t="str">
        <f t="shared" si="72"/>
        <v>Actual 7</v>
      </c>
      <c r="BUO109" s="27" t="str">
        <f t="shared" si="72"/>
        <v>Actual 8</v>
      </c>
      <c r="BUP109" s="27" t="str">
        <f t="shared" si="72"/>
        <v>Actual 9</v>
      </c>
      <c r="BUQ109" s="27" t="str">
        <f t="shared" si="72"/>
        <v>Actual 10</v>
      </c>
      <c r="BUR109" s="27" t="str">
        <f t="shared" si="72"/>
        <v>Actual 11</v>
      </c>
      <c r="BUS109" s="27" t="str">
        <f t="shared" si="72"/>
        <v>Actual 12</v>
      </c>
    </row>
    <row r="110" spans="1901:1917" x14ac:dyDescent="0.3">
      <c r="BUC110" s="18" t="s">
        <v>264</v>
      </c>
      <c r="BUD110" s="18" t="str">
        <f t="shared" ca="1" si="61"/>
        <v>calc</v>
      </c>
      <c r="BUE110" s="18">
        <f ca="1">_xlfn.SHEET( calc!$NTP$1000000)</f>
        <v>6</v>
      </c>
      <c r="BUG110" s="18">
        <f>calc!$NTP$1000000</f>
        <v>0</v>
      </c>
      <c r="BUH110" s="28">
        <f>BUH98-0.25</f>
        <v>0.75</v>
      </c>
      <c r="BUI110" s="28">
        <f t="shared" ref="BUI110:BUS110" si="73">BUI98-0.25</f>
        <v>1.75</v>
      </c>
      <c r="BUJ110" s="28">
        <f t="shared" si="73"/>
        <v>2.75</v>
      </c>
      <c r="BUK110" s="28">
        <f t="shared" si="73"/>
        <v>3.75</v>
      </c>
      <c r="BUL110" s="28">
        <f t="shared" si="73"/>
        <v>4.75</v>
      </c>
      <c r="BUM110" s="28">
        <f t="shared" si="73"/>
        <v>5.75</v>
      </c>
      <c r="BUN110" s="28">
        <f t="shared" si="73"/>
        <v>6.75</v>
      </c>
      <c r="BUO110" s="28">
        <f t="shared" si="73"/>
        <v>7.75</v>
      </c>
      <c r="BUP110" s="28">
        <f t="shared" si="73"/>
        <v>8.75</v>
      </c>
      <c r="BUQ110" s="28">
        <f t="shared" si="73"/>
        <v>9.75</v>
      </c>
      <c r="BUR110" s="28">
        <f t="shared" si="73"/>
        <v>10.75</v>
      </c>
      <c r="BUS110" s="28">
        <f t="shared" si="73"/>
        <v>11.75</v>
      </c>
    </row>
    <row r="111" spans="1901:1917" x14ac:dyDescent="0.3">
      <c r="BUC111" s="18" t="s">
        <v>264</v>
      </c>
      <c r="BUD111" s="18" t="str">
        <f t="shared" ca="1" si="61"/>
        <v>calc</v>
      </c>
      <c r="BUE111" s="18">
        <f ca="1">_xlfn.SHEET( calc!$NTP$1000000)</f>
        <v>6</v>
      </c>
      <c r="BUG111" s="18">
        <f>calc!$NTP$1000000</f>
        <v>0</v>
      </c>
      <c r="BUH111" s="28">
        <f>BUH98-0.25</f>
        <v>0.75</v>
      </c>
      <c r="BUI111" s="28">
        <f t="shared" ref="BUI111:BUS111" si="74">BUI98-0.25</f>
        <v>1.75</v>
      </c>
      <c r="BUJ111" s="28">
        <f t="shared" si="74"/>
        <v>2.75</v>
      </c>
      <c r="BUK111" s="28">
        <f t="shared" si="74"/>
        <v>3.75</v>
      </c>
      <c r="BUL111" s="28">
        <f t="shared" si="74"/>
        <v>4.75</v>
      </c>
      <c r="BUM111" s="28">
        <f t="shared" si="74"/>
        <v>5.75</v>
      </c>
      <c r="BUN111" s="28">
        <f t="shared" si="74"/>
        <v>6.75</v>
      </c>
      <c r="BUO111" s="28">
        <f t="shared" si="74"/>
        <v>7.75</v>
      </c>
      <c r="BUP111" s="28">
        <f t="shared" si="74"/>
        <v>8.75</v>
      </c>
      <c r="BUQ111" s="28">
        <f t="shared" si="74"/>
        <v>9.75</v>
      </c>
      <c r="BUR111" s="28">
        <f t="shared" si="74"/>
        <v>10.75</v>
      </c>
      <c r="BUS111" s="28">
        <f t="shared" si="74"/>
        <v>11.75</v>
      </c>
    </row>
    <row r="112" spans="1901:1917" x14ac:dyDescent="0.3">
      <c r="BUC112" s="18" t="s">
        <v>264</v>
      </c>
      <c r="BUD112" s="18" t="str">
        <f t="shared" ca="1" si="61"/>
        <v>calc</v>
      </c>
      <c r="BUE112" s="18">
        <f ca="1">_xlfn.SHEET( calc!$NTP$1000000)</f>
        <v>6</v>
      </c>
      <c r="BUG112" s="18">
        <f>calc!$NTP$1000000</f>
        <v>0</v>
      </c>
      <c r="BUH112" s="28">
        <v>0</v>
      </c>
      <c r="BUI112" s="28">
        <v>0</v>
      </c>
      <c r="BUJ112" s="28">
        <v>0</v>
      </c>
      <c r="BUK112" s="28">
        <v>0</v>
      </c>
      <c r="BUL112" s="28">
        <v>0</v>
      </c>
      <c r="BUM112" s="28">
        <v>0</v>
      </c>
      <c r="BUN112" s="28">
        <v>0</v>
      </c>
      <c r="BUO112" s="28">
        <v>0</v>
      </c>
      <c r="BUP112" s="28">
        <v>0</v>
      </c>
      <c r="BUQ112" s="28">
        <v>0</v>
      </c>
      <c r="BUR112" s="28">
        <v>0</v>
      </c>
      <c r="BUS112" s="28">
        <v>0</v>
      </c>
    </row>
    <row r="113" spans="1901:1917" x14ac:dyDescent="0.3">
      <c r="BUC113" s="18" t="s">
        <v>264</v>
      </c>
      <c r="BUD113" s="18" t="str">
        <f t="shared" ca="1" si="61"/>
        <v>calc</v>
      </c>
      <c r="BUE113" s="18">
        <f ca="1">_xlfn.SHEET( calc!$NTP$1000000)</f>
        <v>6</v>
      </c>
      <c r="BUG113" s="18">
        <f>calc!$NTP$1000000</f>
        <v>0</v>
      </c>
      <c r="BUH113" s="180">
        <f t="shared" ref="BUH113:BUS113" si="75">IF(BUH94=0,"",BUH94)</f>
        <v>3880822.5</v>
      </c>
      <c r="BUI113" s="180">
        <f t="shared" si="75"/>
        <v>3836197.5</v>
      </c>
      <c r="BUJ113" s="180">
        <f t="shared" si="75"/>
        <v>3695136.375</v>
      </c>
      <c r="BUK113" s="180">
        <f t="shared" si="75"/>
        <v>4272841.6500000004</v>
      </c>
      <c r="BUL113" s="180">
        <f t="shared" si="75"/>
        <v>4209841.6500000004</v>
      </c>
      <c r="BUM113" s="28" t="str">
        <f t="shared" si="75"/>
        <v/>
      </c>
      <c r="BUN113" s="28" t="str">
        <f t="shared" si="75"/>
        <v/>
      </c>
      <c r="BUO113" s="28" t="str">
        <f t="shared" si="75"/>
        <v/>
      </c>
      <c r="BUP113" s="28" t="str">
        <f t="shared" si="75"/>
        <v/>
      </c>
      <c r="BUQ113" s="28" t="str">
        <f t="shared" si="75"/>
        <v/>
      </c>
      <c r="BUR113" s="28" t="str">
        <f t="shared" si="75"/>
        <v/>
      </c>
      <c r="BUS113" s="28" t="str">
        <f t="shared" si="75"/>
        <v/>
      </c>
    </row>
    <row r="114" spans="1901:1917" x14ac:dyDescent="0.3">
      <c r="BUC114" s="18" t="s">
        <v>264</v>
      </c>
      <c r="BUD114" s="18" t="str">
        <f t="shared" ca="1" si="61"/>
        <v>calc</v>
      </c>
      <c r="BUE114" s="18">
        <f ca="1">_xlfn.SHEET( calc!$NTP$1000000)</f>
        <v>6</v>
      </c>
      <c r="BUG114" s="18">
        <f>calc!$NTP$1000000</f>
        <v>0</v>
      </c>
      <c r="BUH114" s="29" t="s">
        <v>268</v>
      </c>
      <c r="BUI114" s="29" t="s">
        <v>268</v>
      </c>
      <c r="BUJ114" s="29" t="s">
        <v>268</v>
      </c>
      <c r="BUK114" s="29" t="s">
        <v>268</v>
      </c>
      <c r="BUL114" s="29" t="s">
        <v>268</v>
      </c>
      <c r="BUM114" s="29" t="s">
        <v>268</v>
      </c>
      <c r="BUN114" s="29" t="s">
        <v>268</v>
      </c>
      <c r="BUO114" s="29" t="s">
        <v>268</v>
      </c>
      <c r="BUP114" s="29" t="s">
        <v>268</v>
      </c>
      <c r="BUQ114" s="29" t="s">
        <v>268</v>
      </c>
      <c r="BUR114" s="29" t="s">
        <v>268</v>
      </c>
      <c r="BUS114" s="29" t="s">
        <v>268</v>
      </c>
    </row>
    <row r="115" spans="1901:1917" x14ac:dyDescent="0.3">
      <c r="BUC115" s="18" t="s">
        <v>264</v>
      </c>
      <c r="BUD115" s="18" t="str">
        <f t="shared" ca="1" si="61"/>
        <v>calc</v>
      </c>
      <c r="BUE115" s="18">
        <f ca="1">_xlfn.SHEET( calc!$NTP$1000000)</f>
        <v>6</v>
      </c>
      <c r="BUG115" s="18">
        <f>calc!$NTP$1000000</f>
        <v>0</v>
      </c>
      <c r="BUH115" s="30">
        <f>BUH98-0.23</f>
        <v>0.77</v>
      </c>
      <c r="BUI115" s="30">
        <f t="shared" ref="BUI115:BUS115" si="76">BUI98+0.22</f>
        <v>2.2200000000000002</v>
      </c>
      <c r="BUJ115" s="30">
        <f t="shared" si="76"/>
        <v>3.22</v>
      </c>
      <c r="BUK115" s="30">
        <f t="shared" si="76"/>
        <v>4.22</v>
      </c>
      <c r="BUL115" s="30">
        <f t="shared" si="76"/>
        <v>5.22</v>
      </c>
      <c r="BUM115" s="30">
        <f t="shared" si="76"/>
        <v>6.22</v>
      </c>
      <c r="BUN115" s="30">
        <f t="shared" si="76"/>
        <v>7.22</v>
      </c>
      <c r="BUO115" s="30">
        <f t="shared" si="76"/>
        <v>8.2200000000000006</v>
      </c>
      <c r="BUP115" s="30">
        <f t="shared" si="76"/>
        <v>9.2200000000000006</v>
      </c>
      <c r="BUQ115" s="30">
        <f t="shared" si="76"/>
        <v>10.220000000000001</v>
      </c>
      <c r="BUR115" s="30">
        <f t="shared" si="76"/>
        <v>11.22</v>
      </c>
      <c r="BUS115" s="30">
        <f t="shared" si="76"/>
        <v>12.22</v>
      </c>
    </row>
    <row r="116" spans="1901:1917" x14ac:dyDescent="0.3">
      <c r="BUC116" s="18" t="s">
        <v>264</v>
      </c>
      <c r="BUD116" s="18" t="str">
        <f t="shared" ca="1" si="61"/>
        <v>calc</v>
      </c>
      <c r="BUE116" s="18">
        <f ca="1">_xlfn.SHEET( calc!$NTP$1000000)</f>
        <v>6</v>
      </c>
      <c r="BUG116" s="18">
        <f>calc!$NTP$1000000</f>
        <v>0</v>
      </c>
      <c r="BUH116" s="30">
        <v>0</v>
      </c>
      <c r="BUI116" s="30">
        <v>0</v>
      </c>
      <c r="BUJ116" s="30">
        <v>0</v>
      </c>
      <c r="BUK116" s="30">
        <v>0</v>
      </c>
      <c r="BUL116" s="30">
        <v>0</v>
      </c>
      <c r="BUM116" s="30">
        <v>0</v>
      </c>
      <c r="BUN116" s="30">
        <v>0</v>
      </c>
      <c r="BUO116" s="30">
        <v>0</v>
      </c>
      <c r="BUP116" s="30">
        <v>0</v>
      </c>
      <c r="BUQ116" s="30">
        <v>0</v>
      </c>
      <c r="BUR116" s="30">
        <v>0</v>
      </c>
      <c r="BUS116" s="30">
        <v>0</v>
      </c>
    </row>
    <row r="117" spans="1901:1917" x14ac:dyDescent="0.3">
      <c r="BUC117" s="18" t="s">
        <v>264</v>
      </c>
      <c r="BUD117" s="18" t="str">
        <f t="shared" ca="1" si="61"/>
        <v>calc</v>
      </c>
      <c r="BUE117" s="18">
        <f ca="1">_xlfn.SHEET( calc!$NTP$1000000)</f>
        <v>6</v>
      </c>
      <c r="BUG117" s="18">
        <f>calc!$NTP$1000000</f>
        <v>0</v>
      </c>
      <c r="BUH117" s="31" t="s">
        <v>269</v>
      </c>
      <c r="BUI117" s="31" t="s">
        <v>269</v>
      </c>
      <c r="BUJ117" s="31" t="s">
        <v>269</v>
      </c>
      <c r="BUK117" s="31" t="s">
        <v>269</v>
      </c>
      <c r="BUL117" s="31" t="s">
        <v>269</v>
      </c>
      <c r="BUM117" s="31" t="s">
        <v>269</v>
      </c>
      <c r="BUN117" s="31" t="s">
        <v>269</v>
      </c>
      <c r="BUO117" s="31" t="s">
        <v>269</v>
      </c>
      <c r="BUP117" s="31" t="s">
        <v>269</v>
      </c>
      <c r="BUQ117" s="31" t="s">
        <v>269</v>
      </c>
      <c r="BUR117" s="31" t="s">
        <v>269</v>
      </c>
      <c r="BUS117" s="31" t="s">
        <v>269</v>
      </c>
    </row>
    <row r="118" spans="1901:1917" x14ac:dyDescent="0.3">
      <c r="BUC118" s="18" t="s">
        <v>264</v>
      </c>
      <c r="BUD118" s="18" t="str">
        <f t="shared" ca="1" si="61"/>
        <v>calc</v>
      </c>
      <c r="BUE118" s="18">
        <f ca="1">_xlfn.SHEET( calc!$NTP$1000000)</f>
        <v>6</v>
      </c>
      <c r="BUG118" s="18">
        <f>calc!$NTP$1000000</f>
        <v>0</v>
      </c>
      <c r="BUH118" s="31" t="str">
        <f>CONCATENATE(BUH117," ",BUH119)</f>
        <v>Var 1</v>
      </c>
      <c r="BUI118" s="31" t="str">
        <f t="shared" ref="BUI118:BUS118" si="77">CONCATENATE(BUI117," ",BUI119)</f>
        <v>Var 2</v>
      </c>
      <c r="BUJ118" s="31" t="str">
        <f t="shared" si="77"/>
        <v>Var 3</v>
      </c>
      <c r="BUK118" s="31" t="str">
        <f t="shared" si="77"/>
        <v>Var 4</v>
      </c>
      <c r="BUL118" s="31" t="str">
        <f t="shared" si="77"/>
        <v>Var 5</v>
      </c>
      <c r="BUM118" s="31" t="str">
        <f t="shared" si="77"/>
        <v>Var 6</v>
      </c>
      <c r="BUN118" s="31" t="str">
        <f t="shared" si="77"/>
        <v>Var 7</v>
      </c>
      <c r="BUO118" s="31" t="str">
        <f t="shared" si="77"/>
        <v>Var 8</v>
      </c>
      <c r="BUP118" s="31" t="str">
        <f t="shared" si="77"/>
        <v>Var 9</v>
      </c>
      <c r="BUQ118" s="31" t="str">
        <f t="shared" si="77"/>
        <v>Var 10</v>
      </c>
      <c r="BUR118" s="31" t="str">
        <f t="shared" si="77"/>
        <v>Var 11</v>
      </c>
      <c r="BUS118" s="31" t="str">
        <f t="shared" si="77"/>
        <v>Var 12</v>
      </c>
    </row>
    <row r="119" spans="1901:1917" x14ac:dyDescent="0.3">
      <c r="BUC119" s="18" t="s">
        <v>264</v>
      </c>
      <c r="BUD119" s="18" t="str">
        <f t="shared" ca="1" si="61"/>
        <v>calc</v>
      </c>
      <c r="BUE119" s="18">
        <f ca="1">_xlfn.SHEET( calc!$NTP$1000000)</f>
        <v>6</v>
      </c>
      <c r="BUG119" s="18">
        <f>calc!$NTP$1000000</f>
        <v>0</v>
      </c>
      <c r="BUH119" s="32">
        <f>BUH98</f>
        <v>1</v>
      </c>
      <c r="BUI119" s="32">
        <f t="shared" ref="BUI119:BUS119" si="78">BUI98</f>
        <v>2</v>
      </c>
      <c r="BUJ119" s="32">
        <f t="shared" si="78"/>
        <v>3</v>
      </c>
      <c r="BUK119" s="32">
        <f t="shared" si="78"/>
        <v>4</v>
      </c>
      <c r="BUL119" s="32">
        <f t="shared" si="78"/>
        <v>5</v>
      </c>
      <c r="BUM119" s="32">
        <f t="shared" si="78"/>
        <v>6</v>
      </c>
      <c r="BUN119" s="32">
        <f t="shared" si="78"/>
        <v>7</v>
      </c>
      <c r="BUO119" s="32">
        <f t="shared" si="78"/>
        <v>8</v>
      </c>
      <c r="BUP119" s="32">
        <f t="shared" si="78"/>
        <v>9</v>
      </c>
      <c r="BUQ119" s="32">
        <f t="shared" si="78"/>
        <v>10</v>
      </c>
      <c r="BUR119" s="32">
        <f t="shared" si="78"/>
        <v>11</v>
      </c>
      <c r="BUS119" s="32">
        <f t="shared" si="78"/>
        <v>12</v>
      </c>
    </row>
    <row r="120" spans="1901:1917" x14ac:dyDescent="0.3">
      <c r="BUC120" s="18" t="s">
        <v>264</v>
      </c>
      <c r="BUD120" s="18" t="str">
        <f t="shared" ca="1" si="61"/>
        <v>calc</v>
      </c>
      <c r="BUE120" s="18">
        <f ca="1">_xlfn.SHEET( calc!$NTP$1000000)</f>
        <v>6</v>
      </c>
      <c r="BUG120" s="18">
        <f>calc!$NTP$1000000</f>
        <v>0</v>
      </c>
      <c r="BUH120" s="33">
        <f t="shared" ref="BUH120:BUS120" si="79">MAX(BUH93:BUH94)</f>
        <v>3880822.5</v>
      </c>
      <c r="BUI120" s="33">
        <f t="shared" si="79"/>
        <v>4213766.25</v>
      </c>
      <c r="BUJ120" s="33">
        <f t="shared" si="79"/>
        <v>4436387.0750000002</v>
      </c>
      <c r="BUK120" s="33">
        <f t="shared" si="79"/>
        <v>5049956.3133333325</v>
      </c>
      <c r="BUL120" s="33">
        <f t="shared" si="79"/>
        <v>5450505.0679166652</v>
      </c>
      <c r="BUM120" s="33">
        <f t="shared" si="79"/>
        <v>0</v>
      </c>
      <c r="BUN120" s="33">
        <f t="shared" si="79"/>
        <v>0</v>
      </c>
      <c r="BUO120" s="33">
        <f t="shared" si="79"/>
        <v>0</v>
      </c>
      <c r="BUP120" s="33">
        <f t="shared" si="79"/>
        <v>0</v>
      </c>
      <c r="BUQ120" s="33">
        <f t="shared" si="79"/>
        <v>0</v>
      </c>
      <c r="BUR120" s="33">
        <f t="shared" si="79"/>
        <v>0</v>
      </c>
      <c r="BUS120" s="33">
        <f t="shared" si="79"/>
        <v>0</v>
      </c>
    </row>
    <row r="121" spans="1901:1917" x14ac:dyDescent="0.3">
      <c r="BUC121" s="18" t="s">
        <v>264</v>
      </c>
      <c r="BUD121" s="18" t="str">
        <f t="shared" ca="1" si="61"/>
        <v>calc</v>
      </c>
      <c r="BUE121" s="18">
        <f ca="1">_xlfn.SHEET( calc!$NTP$1000000)</f>
        <v>6</v>
      </c>
      <c r="BUG121" s="18">
        <f>calc!$NTP$1000000</f>
        <v>0</v>
      </c>
      <c r="BUH121" s="34">
        <f>IF(BUH93-BUH94=0,"",BUH93-BUH94)</f>
        <v>-2447.5</v>
      </c>
      <c r="BUI121" s="34">
        <f t="shared" ref="BUI121:BUL121" si="80">IF(BUI93-BUI94=0,"",BUI93-BUI94)</f>
        <v>377568.75</v>
      </c>
      <c r="BUJ121" s="34">
        <f t="shared" si="80"/>
        <v>741250.70000000019</v>
      </c>
      <c r="BUK121" s="34">
        <f t="shared" si="80"/>
        <v>777114.66333333217</v>
      </c>
      <c r="BUL121" s="34">
        <f t="shared" si="80"/>
        <v>1240663.4179166649</v>
      </c>
      <c r="BUM121" s="34" t="str">
        <f t="shared" ref="BUM121:BUS121" si="81">IF(BUM94-BUM93=0,"",BUM94-BUM93)</f>
        <v/>
      </c>
      <c r="BUN121" s="34" t="str">
        <f t="shared" si="81"/>
        <v/>
      </c>
      <c r="BUO121" s="34" t="str">
        <f t="shared" si="81"/>
        <v/>
      </c>
      <c r="BUP121" s="34" t="str">
        <f t="shared" si="81"/>
        <v/>
      </c>
      <c r="BUQ121" s="34" t="str">
        <f t="shared" si="81"/>
        <v/>
      </c>
      <c r="BUR121" s="34" t="str">
        <f t="shared" si="81"/>
        <v/>
      </c>
      <c r="BUS121" s="34" t="str">
        <f t="shared" si="81"/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6F0CC-788A-44C8-9E60-AA3CD75AB1E6}">
  <sheetPr codeName="Sheet1"/>
  <dimension ref="B2:X43"/>
  <sheetViews>
    <sheetView showGridLines="0" zoomScale="116" zoomScaleNormal="280" workbookViewId="0">
      <selection activeCell="K18" sqref="K18"/>
    </sheetView>
  </sheetViews>
  <sheetFormatPr defaultRowHeight="14.4" x14ac:dyDescent="0.3"/>
  <cols>
    <col min="2" max="2" width="0.6640625" customWidth="1"/>
    <col min="3" max="3" width="7" customWidth="1"/>
    <col min="4" max="4" width="0.44140625" customWidth="1"/>
    <col min="5" max="5" width="24.6640625" bestFit="1" customWidth="1"/>
    <col min="6" max="6" width="0.44140625" customWidth="1"/>
    <col min="7" max="7" width="8.44140625" bestFit="1" customWidth="1"/>
    <col min="8" max="8" width="0.5546875" customWidth="1"/>
    <col min="9" max="9" width="0.6640625" customWidth="1"/>
    <col min="10" max="10" width="0.5546875" customWidth="1"/>
    <col min="16" max="16" width="16.44140625" customWidth="1"/>
    <col min="18" max="18" width="28.88671875" customWidth="1"/>
    <col min="19" max="19" width="26.88671875" customWidth="1"/>
    <col min="20" max="20" width="10.33203125" bestFit="1" customWidth="1"/>
    <col min="21" max="21" width="11.33203125" bestFit="1" customWidth="1"/>
    <col min="22" max="22" width="12.44140625" bestFit="1" customWidth="1"/>
    <col min="23" max="24" width="12.5546875" bestFit="1" customWidth="1"/>
    <col min="25" max="31" width="5.6640625" bestFit="1" customWidth="1"/>
    <col min="32" max="34" width="5.44140625" bestFit="1" customWidth="1"/>
  </cols>
  <sheetData>
    <row r="2" spans="2:24" x14ac:dyDescent="0.3">
      <c r="B2" s="102"/>
      <c r="C2" s="103" t="s">
        <v>7</v>
      </c>
      <c r="D2" s="95"/>
      <c r="E2" s="104" t="s">
        <v>283</v>
      </c>
      <c r="F2" s="95"/>
      <c r="G2" s="104" t="s">
        <v>158</v>
      </c>
      <c r="H2" s="66"/>
      <c r="I2" s="108"/>
    </row>
    <row r="3" spans="2:24" ht="3" customHeight="1" x14ac:dyDescent="0.3">
      <c r="B3" s="66"/>
      <c r="C3" s="99"/>
      <c r="D3" s="95"/>
      <c r="E3" s="95"/>
      <c r="F3" s="95"/>
      <c r="G3" s="95"/>
      <c r="H3" s="66"/>
      <c r="I3" s="108"/>
    </row>
    <row r="4" spans="2:24" x14ac:dyDescent="0.3">
      <c r="B4" s="105"/>
      <c r="C4" s="109">
        <v>1</v>
      </c>
      <c r="D4" s="100"/>
      <c r="E4" s="94" t="str">
        <f>data!D7</f>
        <v>Income</v>
      </c>
      <c r="F4" s="96"/>
      <c r="G4" s="64">
        <f>data!L7</f>
        <v>0</v>
      </c>
      <c r="H4" s="67"/>
      <c r="I4" s="108"/>
      <c r="T4" t="s">
        <v>0</v>
      </c>
      <c r="U4" t="s">
        <v>1</v>
      </c>
      <c r="V4" t="s">
        <v>2</v>
      </c>
      <c r="W4" t="s">
        <v>3</v>
      </c>
      <c r="X4" t="s">
        <v>4</v>
      </c>
    </row>
    <row r="5" spans="2:24" x14ac:dyDescent="0.3">
      <c r="B5" s="106"/>
      <c r="C5" s="109">
        <v>2</v>
      </c>
      <c r="D5" s="101"/>
      <c r="E5" s="94" t="str">
        <f>data!D13</f>
        <v xml:space="preserve">Net Profit   </v>
      </c>
      <c r="F5" s="97"/>
      <c r="G5" s="64">
        <f>data!L13</f>
        <v>0</v>
      </c>
      <c r="H5" s="1"/>
      <c r="I5" s="108"/>
      <c r="S5" t="s">
        <v>272</v>
      </c>
      <c r="T5">
        <f>+data!E7</f>
        <v>3878375</v>
      </c>
      <c r="U5">
        <f>+data!F7</f>
        <v>4213766.25</v>
      </c>
      <c r="V5">
        <f>+data!G7</f>
        <v>4436387.0750000002</v>
      </c>
      <c r="W5">
        <f>+data!H7</f>
        <v>5049956.3133333325</v>
      </c>
      <c r="X5">
        <f>+data!I7</f>
        <v>5450505.0679166652</v>
      </c>
    </row>
    <row r="6" spans="2:24" x14ac:dyDescent="0.3">
      <c r="B6" s="106"/>
      <c r="C6" s="109">
        <v>3</v>
      </c>
      <c r="D6" s="101"/>
      <c r="E6" s="94" t="str">
        <f>data!D14</f>
        <v>Net Profit Margin %</v>
      </c>
      <c r="F6" s="97"/>
      <c r="G6" s="64">
        <f>data!L14</f>
        <v>0</v>
      </c>
      <c r="H6" s="68"/>
      <c r="I6" s="108"/>
      <c r="S6" t="s">
        <v>273</v>
      </c>
      <c r="T6">
        <f>+data!E15</f>
        <v>3880822.5</v>
      </c>
      <c r="U6">
        <f>+data!F15</f>
        <v>3836197.5</v>
      </c>
      <c r="V6">
        <f>+data!G15</f>
        <v>3695136.375</v>
      </c>
      <c r="W6">
        <f>+data!H15</f>
        <v>4272841.6500000004</v>
      </c>
      <c r="X6">
        <f>+data!I15</f>
        <v>4209841.6500000004</v>
      </c>
    </row>
    <row r="7" spans="2:24" x14ac:dyDescent="0.3">
      <c r="B7" s="106"/>
      <c r="C7" s="109">
        <v>4</v>
      </c>
      <c r="D7" s="101"/>
      <c r="E7" s="94" t="str">
        <f>data!D15</f>
        <v>Expenses</v>
      </c>
      <c r="F7" s="97"/>
      <c r="G7" s="64">
        <f>-data!L15</f>
        <v>0</v>
      </c>
      <c r="H7" s="68"/>
      <c r="I7" s="108"/>
    </row>
    <row r="8" spans="2:24" x14ac:dyDescent="0.3">
      <c r="B8" s="106"/>
      <c r="C8" s="109">
        <v>5</v>
      </c>
      <c r="D8" s="101"/>
      <c r="E8" s="94" t="str">
        <f>data!D16</f>
        <v xml:space="preserve">ROCE </v>
      </c>
      <c r="F8" s="97"/>
      <c r="G8" s="64">
        <f>data!L16</f>
        <v>0</v>
      </c>
      <c r="H8" s="68"/>
      <c r="I8" s="108"/>
    </row>
    <row r="9" spans="2:24" x14ac:dyDescent="0.3">
      <c r="B9" s="106"/>
      <c r="C9" s="109">
        <v>6</v>
      </c>
      <c r="D9" s="101"/>
      <c r="E9" s="94" t="str">
        <f>data!D17</f>
        <v xml:space="preserve">Net Profit Margin  </v>
      </c>
      <c r="F9" s="97"/>
      <c r="G9" s="64">
        <f>data!L17</f>
        <v>0</v>
      </c>
      <c r="H9" s="68"/>
      <c r="I9" s="108"/>
      <c r="L9" s="64"/>
    </row>
    <row r="10" spans="2:24" x14ac:dyDescent="0.3">
      <c r="B10" s="106"/>
      <c r="C10" s="109">
        <v>7</v>
      </c>
      <c r="D10" s="101"/>
      <c r="E10" s="94" t="str">
        <f>data!D18</f>
        <v xml:space="preserve">Inventory to Working capital </v>
      </c>
      <c r="F10" s="97"/>
      <c r="G10" s="64">
        <f>data!L18</f>
        <v>0</v>
      </c>
      <c r="H10" s="68"/>
      <c r="I10" s="108"/>
    </row>
    <row r="11" spans="2:24" x14ac:dyDescent="0.3">
      <c r="B11" s="105"/>
      <c r="C11" s="109">
        <v>8</v>
      </c>
      <c r="D11" s="101"/>
      <c r="E11" s="94" t="str">
        <f>data!D19</f>
        <v xml:space="preserve">Return on Equity </v>
      </c>
      <c r="F11" s="97"/>
      <c r="G11" s="64">
        <f>data!L19</f>
        <v>0</v>
      </c>
      <c r="H11" s="68"/>
      <c r="I11" s="108"/>
    </row>
    <row r="12" spans="2:24" x14ac:dyDescent="0.3">
      <c r="B12" s="105"/>
      <c r="C12" s="109">
        <v>9</v>
      </c>
      <c r="D12" s="101"/>
      <c r="E12" s="94" t="str">
        <f>data!D20</f>
        <v>EBIT Margin</v>
      </c>
      <c r="F12" s="97"/>
      <c r="G12" s="64">
        <f>data!L20</f>
        <v>0</v>
      </c>
      <c r="H12" s="68"/>
      <c r="I12" s="108"/>
    </row>
    <row r="13" spans="2:24" x14ac:dyDescent="0.3">
      <c r="B13" s="107"/>
      <c r="C13" s="109">
        <v>10</v>
      </c>
      <c r="D13" s="101"/>
      <c r="E13" s="94" t="str">
        <f>data!D22</f>
        <v>% of Income Budget</v>
      </c>
      <c r="F13" s="97"/>
      <c r="G13" s="64">
        <f>+data!L22</f>
        <v>0</v>
      </c>
      <c r="H13" s="68"/>
      <c r="I13" s="108"/>
    </row>
    <row r="14" spans="2:24" x14ac:dyDescent="0.3">
      <c r="B14" s="107"/>
      <c r="C14" s="109">
        <v>11</v>
      </c>
      <c r="D14" s="101"/>
      <c r="E14" s="94" t="str">
        <f>data!D24</f>
        <v>% of Expenses Budget</v>
      </c>
      <c r="F14" s="97"/>
      <c r="G14" s="64">
        <f>data!L24</f>
        <v>0</v>
      </c>
      <c r="I14" s="108"/>
    </row>
    <row r="15" spans="2:24" x14ac:dyDescent="0.3">
      <c r="B15" s="107"/>
      <c r="C15" s="109">
        <v>12</v>
      </c>
      <c r="D15" s="101"/>
      <c r="E15" s="94" t="s">
        <v>286</v>
      </c>
      <c r="F15" s="97"/>
      <c r="G15" s="64">
        <f>N38-G20</f>
        <v>-0.15996905920649757</v>
      </c>
      <c r="I15" s="108"/>
    </row>
    <row r="16" spans="2:24" ht="3" customHeight="1" x14ac:dyDescent="0.3">
      <c r="I16" s="108"/>
    </row>
    <row r="17" spans="2:9" ht="5.25" customHeight="1" x14ac:dyDescent="0.3">
      <c r="B17" s="108"/>
      <c r="C17" s="103"/>
      <c r="D17" s="104"/>
      <c r="E17" s="104"/>
      <c r="F17" s="108"/>
      <c r="G17" s="108"/>
      <c r="I17" s="108"/>
    </row>
    <row r="18" spans="2:9" ht="269.25" customHeight="1" x14ac:dyDescent="0.3"/>
    <row r="19" spans="2:9" x14ac:dyDescent="0.3">
      <c r="E19" t="s">
        <v>284</v>
      </c>
      <c r="G19" s="69">
        <f>data!J14</f>
        <v>-1.9969059206497566E-2</v>
      </c>
    </row>
    <row r="20" spans="2:9" x14ac:dyDescent="0.3">
      <c r="E20" t="s">
        <v>285</v>
      </c>
      <c r="G20" s="70">
        <f>data!F32</f>
        <v>0.14000000000000001</v>
      </c>
    </row>
    <row r="21" spans="2:9" ht="16.8" x14ac:dyDescent="0.4">
      <c r="G21" s="71"/>
    </row>
    <row r="22" spans="2:9" ht="16.8" x14ac:dyDescent="0.4">
      <c r="B22" s="59"/>
      <c r="C22" s="65"/>
      <c r="D22" s="60"/>
      <c r="E22" s="60"/>
      <c r="F22" s="60"/>
      <c r="G22" s="5"/>
    </row>
    <row r="23" spans="2:9" ht="16.8" x14ac:dyDescent="0.4">
      <c r="B23" s="59"/>
      <c r="C23" s="65"/>
      <c r="D23" s="60"/>
      <c r="E23" s="60"/>
      <c r="F23" s="60"/>
      <c r="G23" s="5"/>
    </row>
    <row r="24" spans="2:9" ht="16.8" x14ac:dyDescent="0.4">
      <c r="B24" s="59"/>
      <c r="C24" s="65"/>
      <c r="D24" s="60"/>
      <c r="E24" s="60"/>
      <c r="F24" s="60"/>
      <c r="G24" s="5"/>
    </row>
    <row r="25" spans="2:9" ht="16.8" x14ac:dyDescent="0.3">
      <c r="B25" s="59"/>
      <c r="C25" s="65"/>
      <c r="D25" s="59"/>
      <c r="E25" s="59"/>
      <c r="F25" s="59"/>
      <c r="G25" s="5"/>
    </row>
    <row r="26" spans="2:9" ht="16.8" x14ac:dyDescent="0.3">
      <c r="B26" s="59"/>
      <c r="C26" s="65"/>
      <c r="D26" s="59"/>
      <c r="E26" s="59"/>
      <c r="F26" s="59"/>
      <c r="G26" s="5"/>
    </row>
    <row r="27" spans="2:9" ht="16.8" x14ac:dyDescent="0.3">
      <c r="B27" s="59"/>
      <c r="C27" s="65"/>
      <c r="D27" s="61"/>
      <c r="E27" s="62"/>
      <c r="F27" s="98"/>
      <c r="G27" s="5"/>
    </row>
    <row r="28" spans="2:9" ht="16.8" x14ac:dyDescent="0.3">
      <c r="B28" s="59"/>
      <c r="C28" s="65"/>
      <c r="D28" s="61"/>
      <c r="E28" s="62"/>
      <c r="F28" s="98"/>
    </row>
    <row r="38" spans="3:16" x14ac:dyDescent="0.3">
      <c r="N38" s="607">
        <f>G19</f>
        <v>-1.9969059206497566E-2</v>
      </c>
      <c r="O38" s="608"/>
      <c r="P38" s="608"/>
    </row>
    <row r="39" spans="3:16" x14ac:dyDescent="0.3">
      <c r="N39" s="608"/>
      <c r="O39" s="608"/>
      <c r="P39" s="608"/>
    </row>
    <row r="40" spans="3:16" x14ac:dyDescent="0.3">
      <c r="G40" t="s">
        <v>282</v>
      </c>
      <c r="N40" s="608"/>
      <c r="O40" s="608"/>
      <c r="P40" s="608"/>
    </row>
    <row r="41" spans="3:16" x14ac:dyDescent="0.3">
      <c r="C41" t="s">
        <v>272</v>
      </c>
      <c r="N41" s="608"/>
      <c r="O41" s="608"/>
      <c r="P41" s="608"/>
    </row>
    <row r="42" spans="3:16" x14ac:dyDescent="0.3">
      <c r="C42" s="63">
        <f>data!J22</f>
        <v>1.0773263888888889</v>
      </c>
      <c r="H42" s="63">
        <f>+data!J24</f>
        <v>1.1392153409216002</v>
      </c>
      <c r="J42" s="63">
        <f>+data!L24</f>
        <v>0</v>
      </c>
      <c r="N42" s="608"/>
      <c r="O42" s="608"/>
      <c r="P42" s="608"/>
    </row>
    <row r="43" spans="3:16" x14ac:dyDescent="0.3">
      <c r="C43" s="63">
        <f>100%-C42</f>
        <v>-7.7326388888888875E-2</v>
      </c>
      <c r="H43" s="63">
        <f>100%-H42</f>
        <v>-0.13921534092160015</v>
      </c>
      <c r="J43" s="63">
        <f>100%-J42</f>
        <v>1</v>
      </c>
      <c r="N43" s="608"/>
      <c r="O43" s="608"/>
      <c r="P43" s="608"/>
    </row>
  </sheetData>
  <mergeCells count="1">
    <mergeCell ref="N38:P43"/>
  </mergeCells>
  <phoneticPr fontId="27" type="noConversion"/>
  <conditionalFormatting sqref="C22">
    <cfRule type="expression" dxfId="33" priority="49">
      <formula>$C$22&gt;0</formula>
    </cfRule>
    <cfRule type="expression" dxfId="32" priority="51">
      <formula>$C$22&lt;0</formula>
    </cfRule>
  </conditionalFormatting>
  <conditionalFormatting sqref="C23">
    <cfRule type="expression" dxfId="31" priority="47">
      <formula>$C$23&gt;0</formula>
    </cfRule>
    <cfRule type="expression" dxfId="30" priority="48">
      <formula>$C$23&lt;0</formula>
    </cfRule>
  </conditionalFormatting>
  <conditionalFormatting sqref="C24">
    <cfRule type="expression" dxfId="29" priority="45">
      <formula>$C$24&gt;0</formula>
    </cfRule>
    <cfRule type="expression" dxfId="28" priority="46">
      <formula>$C$24&lt;0</formula>
    </cfRule>
  </conditionalFormatting>
  <conditionalFormatting sqref="C25">
    <cfRule type="expression" dxfId="27" priority="43">
      <formula>$C$25&gt;0</formula>
    </cfRule>
    <cfRule type="expression" dxfId="26" priority="44">
      <formula>$C$25&lt;0</formula>
    </cfRule>
  </conditionalFormatting>
  <conditionalFormatting sqref="C26">
    <cfRule type="expression" dxfId="25" priority="41">
      <formula>$C$26&gt;0</formula>
    </cfRule>
    <cfRule type="expression" dxfId="24" priority="42">
      <formula>$C$26&lt;0</formula>
    </cfRule>
  </conditionalFormatting>
  <conditionalFormatting sqref="G9">
    <cfRule type="expression" dxfId="23" priority="37">
      <formula>$G$9&lt;0</formula>
    </cfRule>
    <cfRule type="expression" dxfId="22" priority="38">
      <formula>$G$9&gt;0</formula>
    </cfRule>
  </conditionalFormatting>
  <conditionalFormatting sqref="G10">
    <cfRule type="expression" dxfId="21" priority="35">
      <formula>$G$10&lt;0</formula>
    </cfRule>
    <cfRule type="expression" dxfId="20" priority="36">
      <formula>$G$10&gt;0</formula>
    </cfRule>
  </conditionalFormatting>
  <conditionalFormatting sqref="G8">
    <cfRule type="expression" dxfId="19" priority="33">
      <formula>$G$8&lt;0</formula>
    </cfRule>
    <cfRule type="expression" dxfId="18" priority="34">
      <formula>$G$8&gt;0</formula>
    </cfRule>
  </conditionalFormatting>
  <conditionalFormatting sqref="G6">
    <cfRule type="expression" dxfId="17" priority="31">
      <formula>$G$6&lt;0</formula>
    </cfRule>
    <cfRule type="expression" dxfId="16" priority="32">
      <formula>$G$6&gt;0</formula>
    </cfRule>
  </conditionalFormatting>
  <conditionalFormatting sqref="G5">
    <cfRule type="expression" dxfId="15" priority="29">
      <formula>$G$5&lt;0</formula>
    </cfRule>
    <cfRule type="expression" dxfId="14" priority="30">
      <formula>$G$5&gt;0</formula>
    </cfRule>
  </conditionalFormatting>
  <conditionalFormatting sqref="G4">
    <cfRule type="expression" dxfId="13" priority="19">
      <formula>$G$4&lt;0</formula>
    </cfRule>
    <cfRule type="expression" dxfId="12" priority="20">
      <formula>$G$4&gt;0</formula>
    </cfRule>
  </conditionalFormatting>
  <conditionalFormatting sqref="G13">
    <cfRule type="expression" dxfId="11" priority="11">
      <formula>$G$13&lt;0</formula>
    </cfRule>
    <cfRule type="expression" dxfId="10" priority="12">
      <formula>$G$13&gt;0</formula>
    </cfRule>
  </conditionalFormatting>
  <conditionalFormatting sqref="G14">
    <cfRule type="expression" dxfId="9" priority="9">
      <formula>$G$14&lt;0</formula>
    </cfRule>
    <cfRule type="expression" dxfId="8" priority="10">
      <formula>$G$14&gt;0</formula>
    </cfRule>
  </conditionalFormatting>
  <conditionalFormatting sqref="G15">
    <cfRule type="expression" dxfId="7" priority="7">
      <formula>$G$15&lt;0</formula>
    </cfRule>
    <cfRule type="expression" dxfId="6" priority="8">
      <formula>$G$15&gt;0</formula>
    </cfRule>
  </conditionalFormatting>
  <conditionalFormatting sqref="G7">
    <cfRule type="expression" dxfId="5" priority="5">
      <formula>$G$6&lt;0</formula>
    </cfRule>
    <cfRule type="expression" dxfId="4" priority="6">
      <formula>$G$6&gt;0</formula>
    </cfRule>
  </conditionalFormatting>
  <conditionalFormatting sqref="G11:G12">
    <cfRule type="expression" dxfId="3" priority="3">
      <formula>$G$6&lt;0</formula>
    </cfRule>
    <cfRule type="expression" dxfId="2" priority="4">
      <formula>$G$6&gt;0</formula>
    </cfRule>
  </conditionalFormatting>
  <conditionalFormatting sqref="L9">
    <cfRule type="expression" dxfId="1" priority="1">
      <formula>$G$6&lt;0</formula>
    </cfRule>
    <cfRule type="expression" dxfId="0" priority="2">
      <formula>$G$6&gt;0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290A5-4496-4031-A301-DCE72F9F9121}">
  <dimension ref="A1:J33"/>
  <sheetViews>
    <sheetView zoomScale="130" zoomScaleNormal="130" workbookViewId="0"/>
  </sheetViews>
  <sheetFormatPr defaultColWidth="8.88671875" defaultRowHeight="10.199999999999999" x14ac:dyDescent="0.3"/>
  <cols>
    <col min="1" max="1" width="7.88671875" style="210" customWidth="1"/>
    <col min="2" max="2" width="17.88671875" style="210" customWidth="1"/>
    <col min="3" max="3" width="12.6640625" style="210" bestFit="1" customWidth="1"/>
    <col min="4" max="7" width="13.77734375" style="210" bestFit="1" customWidth="1"/>
    <col min="8" max="9" width="12.88671875" style="210" customWidth="1"/>
    <col min="10" max="10" width="2.88671875" style="210" customWidth="1"/>
    <col min="11" max="16384" width="8.88671875" style="210"/>
  </cols>
  <sheetData>
    <row r="1" spans="1:10" ht="10.8" thickBot="1" x14ac:dyDescent="0.35"/>
    <row r="2" spans="1:10" ht="22.5" customHeight="1" thickBot="1" x14ac:dyDescent="0.35">
      <c r="B2" s="609" t="s">
        <v>458</v>
      </c>
      <c r="C2" s="610"/>
      <c r="D2" s="610"/>
      <c r="E2" s="610"/>
      <c r="F2" s="610"/>
      <c r="G2" s="610"/>
      <c r="H2" s="610"/>
      <c r="I2" s="611"/>
      <c r="J2" s="185"/>
    </row>
    <row r="3" spans="1:10" ht="15" customHeight="1" thickBot="1" x14ac:dyDescent="0.35">
      <c r="A3" s="186"/>
      <c r="B3" s="186"/>
      <c r="C3" s="186"/>
      <c r="D3" s="186"/>
      <c r="E3" s="186"/>
      <c r="F3" s="186"/>
      <c r="G3" s="186"/>
      <c r="H3" s="184"/>
      <c r="I3" s="186"/>
      <c r="J3" s="186"/>
    </row>
    <row r="4" spans="1:10" ht="15" customHeight="1" thickBot="1" x14ac:dyDescent="0.35">
      <c r="B4" s="187"/>
      <c r="C4" s="217" t="s">
        <v>294</v>
      </c>
      <c r="D4" s="218" t="s">
        <v>290</v>
      </c>
      <c r="E4" s="218" t="s">
        <v>295</v>
      </c>
      <c r="F4" s="218" t="s">
        <v>297</v>
      </c>
      <c r="G4" s="218" t="s">
        <v>298</v>
      </c>
      <c r="H4" s="218" t="s">
        <v>299</v>
      </c>
      <c r="I4" s="219" t="s">
        <v>300</v>
      </c>
    </row>
    <row r="5" spans="1:10" ht="15" customHeight="1" x14ac:dyDescent="0.3">
      <c r="B5" s="213" t="s">
        <v>301</v>
      </c>
      <c r="C5" s="191"/>
      <c r="D5" s="192"/>
      <c r="E5" s="192"/>
      <c r="F5" s="192"/>
      <c r="G5" s="192"/>
      <c r="H5" s="220" t="s">
        <v>302</v>
      </c>
      <c r="I5" s="193"/>
    </row>
    <row r="6" spans="1:10" ht="15" customHeight="1" x14ac:dyDescent="0.3">
      <c r="B6" s="214" t="s">
        <v>303</v>
      </c>
      <c r="C6" s="226">
        <v>900</v>
      </c>
      <c r="D6" s="227">
        <f>C6*(1+D12)</f>
        <v>949.5</v>
      </c>
      <c r="E6" s="227">
        <f t="shared" ref="E6:G6" si="0">D6*(1+E12)</f>
        <v>1020.7125</v>
      </c>
      <c r="F6" s="227">
        <f t="shared" si="0"/>
        <v>1117.6801874999999</v>
      </c>
      <c r="G6" s="227">
        <f t="shared" si="0"/>
        <v>1246.2134090624997</v>
      </c>
      <c r="H6" s="194">
        <f>(D6/C6)-1</f>
        <v>5.4999999999999938E-2</v>
      </c>
      <c r="I6" s="195">
        <f>(E6/D6)-1</f>
        <v>7.4999999999999956E-2</v>
      </c>
    </row>
    <row r="7" spans="1:10" ht="15" customHeight="1" x14ac:dyDescent="0.3">
      <c r="B7" s="215"/>
      <c r="C7" s="196"/>
      <c r="D7" s="190"/>
      <c r="E7" s="190"/>
      <c r="F7" s="190"/>
      <c r="G7" s="190"/>
      <c r="H7" s="197"/>
      <c r="I7" s="198"/>
    </row>
    <row r="8" spans="1:10" ht="15" customHeight="1" x14ac:dyDescent="0.3">
      <c r="B8" s="213" t="s">
        <v>304</v>
      </c>
      <c r="C8" s="199"/>
      <c r="D8" s="200"/>
      <c r="E8" s="200"/>
      <c r="F8" s="200"/>
      <c r="G8" s="200"/>
      <c r="H8" s="221" t="s">
        <v>305</v>
      </c>
      <c r="I8" s="201"/>
    </row>
    <row r="9" spans="1:10" ht="15" customHeight="1" x14ac:dyDescent="0.3">
      <c r="B9" s="214" t="str">
        <f>B12</f>
        <v xml:space="preserve">STOCKTIGO </v>
      </c>
      <c r="C9" s="228">
        <v>4000</v>
      </c>
      <c r="D9" s="229">
        <v>4000</v>
      </c>
      <c r="E9" s="229">
        <v>4000</v>
      </c>
      <c r="F9" s="229">
        <v>4000</v>
      </c>
      <c r="G9" s="229">
        <v>4000</v>
      </c>
      <c r="H9" s="202">
        <f t="shared" ref="H9:I9" si="1">D9-C9</f>
        <v>0</v>
      </c>
      <c r="I9" s="203">
        <f t="shared" si="1"/>
        <v>0</v>
      </c>
    </row>
    <row r="10" spans="1:10" ht="15" customHeight="1" x14ac:dyDescent="0.3">
      <c r="B10" s="215"/>
      <c r="C10" s="196"/>
      <c r="D10" s="190"/>
      <c r="E10" s="190"/>
      <c r="F10" s="190"/>
      <c r="G10" s="190"/>
      <c r="H10" s="197"/>
      <c r="I10" s="198"/>
    </row>
    <row r="11" spans="1:10" ht="15" customHeight="1" x14ac:dyDescent="0.3">
      <c r="B11" s="213" t="s">
        <v>306</v>
      </c>
      <c r="C11" s="199"/>
      <c r="D11" s="200"/>
      <c r="E11" s="200"/>
      <c r="F11" s="200"/>
      <c r="G11" s="200"/>
      <c r="H11" s="221" t="s">
        <v>305</v>
      </c>
      <c r="I11" s="201"/>
    </row>
    <row r="12" spans="1:10" ht="15" customHeight="1" x14ac:dyDescent="0.3">
      <c r="B12" s="214" t="str">
        <f>B6</f>
        <v xml:space="preserve">STOCKTIGO </v>
      </c>
      <c r="C12" s="230"/>
      <c r="D12" s="231">
        <v>5.5E-2</v>
      </c>
      <c r="E12" s="232">
        <f>D12+2%</f>
        <v>7.4999999999999997E-2</v>
      </c>
      <c r="F12" s="232">
        <f t="shared" ref="F12:G12" si="2">E12+2%</f>
        <v>9.5000000000000001E-2</v>
      </c>
      <c r="G12" s="232">
        <f t="shared" si="2"/>
        <v>0.115</v>
      </c>
      <c r="H12" s="188">
        <f>E12+2%</f>
        <v>9.5000000000000001E-2</v>
      </c>
      <c r="I12" s="189">
        <f>H12+2%</f>
        <v>0.115</v>
      </c>
    </row>
    <row r="13" spans="1:10" ht="15" customHeight="1" x14ac:dyDescent="0.3">
      <c r="B13" s="215"/>
      <c r="C13" s="196"/>
      <c r="D13" s="190"/>
      <c r="E13" s="190"/>
      <c r="F13" s="190"/>
      <c r="G13" s="190"/>
      <c r="H13" s="197"/>
      <c r="I13" s="198"/>
    </row>
    <row r="14" spans="1:10" ht="15" customHeight="1" x14ac:dyDescent="0.3">
      <c r="B14" s="213" t="s">
        <v>307</v>
      </c>
      <c r="C14" s="199"/>
      <c r="D14" s="200"/>
      <c r="E14" s="200"/>
      <c r="F14" s="200"/>
      <c r="G14" s="200"/>
      <c r="H14" s="221" t="s">
        <v>305</v>
      </c>
      <c r="I14" s="201"/>
    </row>
    <row r="15" spans="1:10" ht="15" customHeight="1" x14ac:dyDescent="0.3">
      <c r="B15" s="214" t="str">
        <f>B9</f>
        <v xml:space="preserve">STOCKTIGO </v>
      </c>
      <c r="C15" s="228">
        <f>C9*C6</f>
        <v>3600000</v>
      </c>
      <c r="D15" s="229">
        <f t="shared" ref="D15:G15" si="3">D9*D6</f>
        <v>3798000</v>
      </c>
      <c r="E15" s="229">
        <f t="shared" si="3"/>
        <v>4082850</v>
      </c>
      <c r="F15" s="229">
        <f t="shared" si="3"/>
        <v>4470720.7499999991</v>
      </c>
      <c r="G15" s="229">
        <f t="shared" si="3"/>
        <v>4984853.6362499986</v>
      </c>
      <c r="H15" s="202">
        <f t="shared" ref="H15:I16" si="4">D15-C15</f>
        <v>198000</v>
      </c>
      <c r="I15" s="203">
        <f t="shared" si="4"/>
        <v>284850</v>
      </c>
    </row>
    <row r="16" spans="1:10" ht="15" customHeight="1" x14ac:dyDescent="0.3">
      <c r="B16" s="216" t="s">
        <v>307</v>
      </c>
      <c r="C16" s="204">
        <f>SUM(C14:C15)</f>
        <v>3600000</v>
      </c>
      <c r="D16" s="205">
        <f t="shared" ref="D16:G16" si="5">SUM(D14:D15)</f>
        <v>3798000</v>
      </c>
      <c r="E16" s="205">
        <f t="shared" si="5"/>
        <v>4082850</v>
      </c>
      <c r="F16" s="205">
        <f t="shared" si="5"/>
        <v>4470720.7499999991</v>
      </c>
      <c r="G16" s="205">
        <f t="shared" si="5"/>
        <v>4984853.6362499986</v>
      </c>
      <c r="H16" s="206">
        <f t="shared" si="4"/>
        <v>198000</v>
      </c>
      <c r="I16" s="207">
        <f t="shared" si="4"/>
        <v>284850</v>
      </c>
    </row>
    <row r="17" spans="2:9" ht="15" customHeight="1" x14ac:dyDescent="0.3">
      <c r="B17" s="215"/>
      <c r="C17" s="196"/>
      <c r="D17" s="190"/>
      <c r="E17" s="190"/>
      <c r="F17" s="190"/>
      <c r="G17" s="190"/>
      <c r="H17" s="197"/>
      <c r="I17" s="198"/>
    </row>
    <row r="18" spans="2:9" ht="15" customHeight="1" x14ac:dyDescent="0.3">
      <c r="B18" s="213" t="s">
        <v>308</v>
      </c>
      <c r="C18" s="199"/>
      <c r="D18" s="200"/>
      <c r="E18" s="200"/>
      <c r="F18" s="200"/>
      <c r="G18" s="200"/>
      <c r="H18" s="221" t="s">
        <v>305</v>
      </c>
      <c r="I18" s="201"/>
    </row>
    <row r="19" spans="2:9" ht="15" customHeight="1" x14ac:dyDescent="0.3">
      <c r="B19" s="214" t="str">
        <f>B6</f>
        <v xml:space="preserve">STOCKTIGO </v>
      </c>
      <c r="C19" s="228">
        <f>'COST SHEET '!H28</f>
        <v>2733.75</v>
      </c>
      <c r="D19" s="229">
        <f>'COST SHEET '!L28</f>
        <v>2703.75</v>
      </c>
      <c r="E19" s="229">
        <f>'COST SHEET '!P28</f>
        <v>2632.9775</v>
      </c>
      <c r="F19" s="229">
        <f>'COST SHEET '!T27</f>
        <v>2344.1971705426354</v>
      </c>
      <c r="G19" s="229">
        <f>'COST SHEET '!X28</f>
        <v>2201.3114513108612</v>
      </c>
      <c r="H19" s="202">
        <f t="shared" ref="H19:I19" si="6">D19-C19</f>
        <v>-30</v>
      </c>
      <c r="I19" s="203">
        <f t="shared" si="6"/>
        <v>-70.772500000000036</v>
      </c>
    </row>
    <row r="20" spans="2:9" ht="15" customHeight="1" x14ac:dyDescent="0.3">
      <c r="B20" s="214" t="s">
        <v>309</v>
      </c>
      <c r="C20" s="233">
        <v>1000</v>
      </c>
      <c r="D20" s="234">
        <v>1000</v>
      </c>
      <c r="E20" s="234">
        <v>1000</v>
      </c>
      <c r="F20" s="234">
        <v>1200</v>
      </c>
      <c r="G20" s="234">
        <v>1200</v>
      </c>
      <c r="H20" s="202"/>
      <c r="I20" s="203"/>
    </row>
    <row r="21" spans="2:9" ht="15" customHeight="1" x14ac:dyDescent="0.3">
      <c r="B21" s="215"/>
      <c r="C21" s="196"/>
      <c r="D21" s="190"/>
      <c r="E21" s="190"/>
      <c r="F21" s="190"/>
      <c r="G21" s="190"/>
      <c r="H21" s="197"/>
      <c r="I21" s="198"/>
    </row>
    <row r="22" spans="2:9" ht="15" customHeight="1" x14ac:dyDescent="0.3">
      <c r="B22" s="213" t="s">
        <v>310</v>
      </c>
      <c r="C22" s="199"/>
      <c r="D22" s="200"/>
      <c r="E22" s="200"/>
      <c r="F22" s="200"/>
      <c r="G22" s="200"/>
      <c r="H22" s="221" t="s">
        <v>305</v>
      </c>
      <c r="I22" s="201"/>
    </row>
    <row r="23" spans="2:9" ht="15" customHeight="1" x14ac:dyDescent="0.3">
      <c r="B23" s="214" t="str">
        <f>B12</f>
        <v xml:space="preserve">STOCKTIGO </v>
      </c>
      <c r="C23" s="228">
        <f>C9-C19</f>
        <v>1266.25</v>
      </c>
      <c r="D23" s="229">
        <f t="shared" ref="D23:G23" si="7">D9-D19</f>
        <v>1296.25</v>
      </c>
      <c r="E23" s="229">
        <f t="shared" si="7"/>
        <v>1367.0225</v>
      </c>
      <c r="F23" s="229">
        <f t="shared" si="7"/>
        <v>1655.8028294573646</v>
      </c>
      <c r="G23" s="229">
        <f t="shared" si="7"/>
        <v>1798.6885486891388</v>
      </c>
      <c r="H23" s="202">
        <f t="shared" ref="H23:I23" si="8">D23-C23</f>
        <v>30</v>
      </c>
      <c r="I23" s="203">
        <f t="shared" si="8"/>
        <v>70.772500000000036</v>
      </c>
    </row>
    <row r="24" spans="2:9" ht="15" customHeight="1" x14ac:dyDescent="0.3">
      <c r="B24" s="215"/>
      <c r="C24" s="196"/>
      <c r="D24" s="190"/>
      <c r="E24" s="190"/>
      <c r="F24" s="190"/>
      <c r="G24" s="190"/>
      <c r="H24" s="197"/>
      <c r="I24" s="198"/>
    </row>
    <row r="25" spans="2:9" ht="15" customHeight="1" x14ac:dyDescent="0.3">
      <c r="B25" s="213" t="s">
        <v>311</v>
      </c>
      <c r="C25" s="199"/>
      <c r="D25" s="200"/>
      <c r="E25" s="200"/>
      <c r="F25" s="200"/>
      <c r="G25" s="200"/>
      <c r="H25" s="221" t="s">
        <v>305</v>
      </c>
      <c r="I25" s="201"/>
    </row>
    <row r="26" spans="2:9" ht="15" customHeight="1" thickBot="1" x14ac:dyDescent="0.35">
      <c r="B26" s="214" t="str">
        <f>B9</f>
        <v xml:space="preserve">STOCKTIGO </v>
      </c>
      <c r="C26" s="235">
        <f>(C6*C9)-(C19*C20)</f>
        <v>866250</v>
      </c>
      <c r="D26" s="236">
        <f t="shared" ref="D26:G26" si="9">(D6*D9)-(D19*D20)</f>
        <v>1094250</v>
      </c>
      <c r="E26" s="236">
        <f t="shared" si="9"/>
        <v>1449872.5</v>
      </c>
      <c r="F26" s="236">
        <f t="shared" si="9"/>
        <v>1657684.1453488367</v>
      </c>
      <c r="G26" s="236">
        <f t="shared" si="9"/>
        <v>2343279.8946769652</v>
      </c>
      <c r="H26" s="202">
        <f t="shared" ref="H26:I27" si="10">D26-C26</f>
        <v>228000</v>
      </c>
      <c r="I26" s="203">
        <f t="shared" si="10"/>
        <v>355622.5</v>
      </c>
    </row>
    <row r="27" spans="2:9" ht="15" customHeight="1" thickBot="1" x14ac:dyDescent="0.3">
      <c r="B27" s="279" t="s">
        <v>311</v>
      </c>
      <c r="C27" s="302">
        <f>C26</f>
        <v>866250</v>
      </c>
      <c r="D27" s="302">
        <f t="shared" ref="D27:G27" si="11">D26</f>
        <v>1094250</v>
      </c>
      <c r="E27" s="302">
        <f t="shared" si="11"/>
        <v>1449872.5</v>
      </c>
      <c r="F27" s="302">
        <f t="shared" si="11"/>
        <v>1657684.1453488367</v>
      </c>
      <c r="G27" s="302">
        <f t="shared" si="11"/>
        <v>2343279.8946769652</v>
      </c>
      <c r="H27" s="208">
        <f t="shared" si="10"/>
        <v>228000</v>
      </c>
      <c r="I27" s="209">
        <f t="shared" si="10"/>
        <v>355622.5</v>
      </c>
    </row>
    <row r="32" spans="2:9" x14ac:dyDescent="0.3">
      <c r="B32" s="211"/>
    </row>
    <row r="33" spans="2:2" x14ac:dyDescent="0.3">
      <c r="B33" s="212"/>
    </row>
  </sheetData>
  <mergeCells count="1">
    <mergeCell ref="B2:I2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3D1F5-97D2-4140-918E-9222431CE0C6}">
  <dimension ref="D1:AL75"/>
  <sheetViews>
    <sheetView topLeftCell="E1" zoomScale="103" zoomScaleNormal="93" workbookViewId="0"/>
  </sheetViews>
  <sheetFormatPr defaultColWidth="8.88671875" defaultRowHeight="16.8" x14ac:dyDescent="0.3"/>
  <cols>
    <col min="1" max="4" width="8.88671875" style="183"/>
    <col min="5" max="5" width="40" style="369" bestFit="1" customWidth="1"/>
    <col min="6" max="6" width="10" style="183" customWidth="1"/>
    <col min="7" max="7" width="14.33203125" style="183" bestFit="1" customWidth="1"/>
    <col min="8" max="8" width="11.33203125" style="183" customWidth="1"/>
    <col min="9" max="9" width="20.77734375" style="239" bestFit="1" customWidth="1"/>
    <col min="10" max="10" width="7.88671875" style="183" customWidth="1"/>
    <col min="11" max="12" width="11.33203125" style="183" customWidth="1"/>
    <col min="13" max="13" width="15.44140625" style="183" bestFit="1" customWidth="1"/>
    <col min="14" max="14" width="8.88671875" style="183"/>
    <col min="15" max="16" width="12.6640625" style="183" customWidth="1"/>
    <col min="17" max="17" width="16.109375" style="183" customWidth="1"/>
    <col min="18" max="20" width="12.5546875" style="183" customWidth="1"/>
    <col min="21" max="21" width="15.44140625" style="183" bestFit="1" customWidth="1"/>
    <col min="22" max="24" width="12.5546875" style="183" customWidth="1"/>
    <col min="25" max="25" width="15.44140625" style="183" bestFit="1" customWidth="1"/>
    <col min="26" max="27" width="9.33203125" style="183" customWidth="1"/>
    <col min="28" max="28" width="12.21875" style="240" bestFit="1" customWidth="1"/>
    <col min="29" max="29" width="9.109375" style="183" bestFit="1" customWidth="1"/>
    <col min="30" max="30" width="8.88671875" style="183"/>
    <col min="31" max="31" width="9.21875" style="183" bestFit="1" customWidth="1"/>
    <col min="32" max="32" width="10.21875" style="240" bestFit="1" customWidth="1"/>
    <col min="33" max="33" width="9.109375" style="183" bestFit="1" customWidth="1"/>
    <col min="34" max="34" width="8.88671875" style="183"/>
    <col min="35" max="35" width="9.109375" style="183" bestFit="1" customWidth="1"/>
    <col min="36" max="36" width="12.21875" style="240" bestFit="1" customWidth="1"/>
    <col min="37" max="39" width="8.88671875" style="183"/>
    <col min="40" max="41" width="9.109375" style="183" bestFit="1" customWidth="1"/>
    <col min="42" max="42" width="12.21875" style="183" bestFit="1" customWidth="1"/>
    <col min="43" max="16384" width="8.88671875" style="183"/>
  </cols>
  <sheetData>
    <row r="1" spans="4:38" ht="17.399999999999999" thickBot="1" x14ac:dyDescent="0.35"/>
    <row r="2" spans="4:38" ht="32.4" customHeight="1" thickBot="1" x14ac:dyDescent="0.3">
      <c r="D2" s="612" t="s">
        <v>456</v>
      </c>
      <c r="E2" s="613"/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3"/>
      <c r="V2" s="613"/>
      <c r="W2" s="613"/>
      <c r="X2" s="613"/>
      <c r="Y2" s="614"/>
    </row>
    <row r="3" spans="4:38" ht="17.399999999999999" thickBot="1" x14ac:dyDescent="0.35"/>
    <row r="4" spans="4:38" s="265" customFormat="1" ht="17.399999999999999" thickBot="1" x14ac:dyDescent="0.35">
      <c r="D4" s="269" t="s">
        <v>312</v>
      </c>
      <c r="E4" s="264" t="s">
        <v>313</v>
      </c>
      <c r="F4" s="618" t="s">
        <v>289</v>
      </c>
      <c r="G4" s="618"/>
      <c r="H4" s="618"/>
      <c r="I4" s="619"/>
      <c r="K4" s="620" t="s">
        <v>314</v>
      </c>
      <c r="L4" s="621"/>
      <c r="M4" s="622"/>
      <c r="O4" s="623" t="s">
        <v>291</v>
      </c>
      <c r="P4" s="624"/>
      <c r="Q4" s="625"/>
      <c r="S4" s="620" t="s">
        <v>445</v>
      </c>
      <c r="T4" s="621"/>
      <c r="U4" s="622"/>
      <c r="W4" s="620" t="s">
        <v>293</v>
      </c>
      <c r="X4" s="621"/>
      <c r="Y4" s="622"/>
      <c r="AB4" s="266"/>
      <c r="AC4" s="615"/>
      <c r="AD4" s="615"/>
      <c r="AF4" s="266"/>
      <c r="AG4" s="615"/>
      <c r="AH4" s="615"/>
      <c r="AJ4" s="266"/>
      <c r="AK4" s="615"/>
      <c r="AL4" s="615"/>
    </row>
    <row r="5" spans="4:38" s="367" customFormat="1" ht="17.399999999999999" thickBot="1" x14ac:dyDescent="0.35">
      <c r="D5" s="362"/>
      <c r="E5" s="363"/>
      <c r="F5" s="364" t="s">
        <v>315</v>
      </c>
      <c r="G5" s="364" t="s">
        <v>316</v>
      </c>
      <c r="H5" s="364" t="s">
        <v>309</v>
      </c>
      <c r="I5" s="365" t="s">
        <v>317</v>
      </c>
      <c r="J5" s="366"/>
      <c r="K5" s="364" t="s">
        <v>316</v>
      </c>
      <c r="L5" s="364" t="s">
        <v>309</v>
      </c>
      <c r="M5" s="365" t="s">
        <v>317</v>
      </c>
      <c r="N5" s="366"/>
      <c r="O5" s="364" t="s">
        <v>316</v>
      </c>
      <c r="P5" s="364" t="s">
        <v>309</v>
      </c>
      <c r="Q5" s="365" t="s">
        <v>317</v>
      </c>
      <c r="R5" s="366"/>
      <c r="S5" s="364" t="s">
        <v>316</v>
      </c>
      <c r="T5" s="364" t="s">
        <v>309</v>
      </c>
      <c r="U5" s="365" t="s">
        <v>317</v>
      </c>
      <c r="V5" s="366"/>
      <c r="W5" s="364" t="s">
        <v>316</v>
      </c>
      <c r="X5" s="364" t="s">
        <v>309</v>
      </c>
      <c r="Y5" s="365" t="s">
        <v>317</v>
      </c>
      <c r="AB5" s="368"/>
      <c r="AF5" s="368"/>
      <c r="AJ5" s="368"/>
    </row>
    <row r="6" spans="4:38" x14ac:dyDescent="0.3">
      <c r="D6" s="270"/>
      <c r="E6" s="222" t="s">
        <v>468</v>
      </c>
      <c r="F6" s="256"/>
      <c r="G6" s="256"/>
      <c r="H6" s="256"/>
      <c r="I6" s="260"/>
      <c r="K6" s="237"/>
      <c r="L6" s="238"/>
      <c r="M6" s="261"/>
      <c r="O6" s="237"/>
      <c r="P6" s="238"/>
      <c r="Q6" s="261"/>
      <c r="S6" s="237"/>
      <c r="T6" s="238"/>
      <c r="U6" s="261"/>
      <c r="W6" s="237"/>
      <c r="X6" s="238"/>
      <c r="Y6" s="261"/>
    </row>
    <row r="7" spans="4:38" ht="18" customHeight="1" x14ac:dyDescent="0.3">
      <c r="D7" s="270"/>
      <c r="E7" s="370" t="s">
        <v>318</v>
      </c>
      <c r="F7" s="244"/>
      <c r="G7" s="387">
        <f>0</f>
        <v>0</v>
      </c>
      <c r="H7" s="387"/>
      <c r="I7" s="388"/>
      <c r="J7" s="369"/>
      <c r="K7" s="389">
        <f>0</f>
        <v>0</v>
      </c>
      <c r="L7" s="387"/>
      <c r="M7" s="388"/>
      <c r="N7" s="369"/>
      <c r="O7" s="389"/>
      <c r="P7" s="387"/>
      <c r="Q7" s="388"/>
      <c r="R7" s="369"/>
      <c r="S7" s="389"/>
      <c r="T7" s="387"/>
      <c r="U7" s="388"/>
      <c r="V7" s="369"/>
      <c r="W7" s="389"/>
      <c r="X7" s="387"/>
      <c r="Y7" s="388"/>
    </row>
    <row r="8" spans="4:38" ht="18" customHeight="1" x14ac:dyDescent="0.3">
      <c r="D8" s="270"/>
      <c r="E8" s="370" t="s">
        <v>319</v>
      </c>
      <c r="F8" s="244">
        <v>1</v>
      </c>
      <c r="G8" s="390">
        <v>1000</v>
      </c>
      <c r="H8" s="391">
        <f>G46</f>
        <v>2025.75</v>
      </c>
      <c r="I8" s="388">
        <f>H8*G8</f>
        <v>2025750</v>
      </c>
      <c r="J8" s="369"/>
      <c r="K8" s="392">
        <v>1000</v>
      </c>
      <c r="L8" s="391">
        <v>2025.75</v>
      </c>
      <c r="M8" s="388">
        <f>I8</f>
        <v>2025750</v>
      </c>
      <c r="N8" s="369"/>
      <c r="O8" s="392">
        <f>K8</f>
        <v>1000</v>
      </c>
      <c r="P8" s="391">
        <f>H8*(1-3%)</f>
        <v>1964.9775</v>
      </c>
      <c r="Q8" s="388">
        <f>G8*P8</f>
        <v>1964977.5</v>
      </c>
      <c r="R8" s="369"/>
      <c r="S8" s="392">
        <v>1200</v>
      </c>
      <c r="T8" s="391">
        <f>P8</f>
        <v>1964.9775</v>
      </c>
      <c r="U8" s="388">
        <f>T8*S8</f>
        <v>2357973</v>
      </c>
      <c r="V8" s="369"/>
      <c r="W8" s="392">
        <v>1200</v>
      </c>
      <c r="X8" s="391">
        <f>T8</f>
        <v>1964.9775</v>
      </c>
      <c r="Y8" s="388">
        <f>U8</f>
        <v>2357973</v>
      </c>
      <c r="AI8" s="246"/>
    </row>
    <row r="9" spans="4:38" ht="18" customHeight="1" x14ac:dyDescent="0.3">
      <c r="D9" s="271"/>
      <c r="E9" s="370" t="s">
        <v>320</v>
      </c>
      <c r="F9" s="244">
        <v>2</v>
      </c>
      <c r="G9" s="393" t="s">
        <v>321</v>
      </c>
      <c r="H9" s="393" t="s">
        <v>321</v>
      </c>
      <c r="I9" s="388">
        <f>I50</f>
        <v>36000</v>
      </c>
      <c r="J9" s="369"/>
      <c r="K9" s="394" t="s">
        <v>321</v>
      </c>
      <c r="L9" s="393"/>
      <c r="M9" s="388">
        <f>I9</f>
        <v>36000</v>
      </c>
      <c r="N9" s="369"/>
      <c r="O9" s="394"/>
      <c r="P9" s="393"/>
      <c r="Q9" s="388">
        <f>I9</f>
        <v>36000</v>
      </c>
      <c r="R9" s="369"/>
      <c r="S9" s="394"/>
      <c r="T9" s="393"/>
      <c r="U9" s="388">
        <f>Q9*(1+20%)</f>
        <v>43200</v>
      </c>
      <c r="V9" s="369"/>
      <c r="W9" s="394"/>
      <c r="X9" s="393"/>
      <c r="Y9" s="388">
        <f>U9</f>
        <v>43200</v>
      </c>
    </row>
    <row r="10" spans="4:38" ht="18" customHeight="1" x14ac:dyDescent="0.3">
      <c r="D10" s="270"/>
      <c r="E10" s="370"/>
      <c r="F10" s="244"/>
      <c r="G10" s="387"/>
      <c r="H10" s="387"/>
      <c r="I10" s="388"/>
      <c r="J10" s="369"/>
      <c r="K10" s="389"/>
      <c r="L10" s="387"/>
      <c r="M10" s="388"/>
      <c r="N10" s="369"/>
      <c r="O10" s="389"/>
      <c r="P10" s="387"/>
      <c r="Q10" s="388"/>
      <c r="R10" s="369"/>
      <c r="S10" s="389"/>
      <c r="T10" s="387"/>
      <c r="U10" s="388"/>
      <c r="V10" s="369"/>
      <c r="W10" s="389"/>
      <c r="X10" s="387"/>
      <c r="Y10" s="388"/>
    </row>
    <row r="11" spans="4:38" ht="18" customHeight="1" x14ac:dyDescent="0.3">
      <c r="D11" s="270"/>
      <c r="E11" s="370" t="s">
        <v>322</v>
      </c>
      <c r="F11" s="244"/>
      <c r="G11" s="387">
        <v>0</v>
      </c>
      <c r="H11" s="387">
        <v>0</v>
      </c>
      <c r="I11" s="388">
        <f>H11*G11</f>
        <v>0</v>
      </c>
      <c r="J11" s="369"/>
      <c r="K11" s="389">
        <v>0</v>
      </c>
      <c r="L11" s="387"/>
      <c r="M11" s="388"/>
      <c r="N11" s="369"/>
      <c r="O11" s="389">
        <v>0</v>
      </c>
      <c r="P11" s="387"/>
      <c r="Q11" s="388"/>
      <c r="R11" s="369"/>
      <c r="S11" s="389"/>
      <c r="T11" s="387"/>
      <c r="U11" s="388"/>
      <c r="V11" s="369"/>
      <c r="W11" s="389"/>
      <c r="X11" s="387"/>
      <c r="Y11" s="388"/>
    </row>
    <row r="12" spans="4:38" ht="18" customHeight="1" x14ac:dyDescent="0.3">
      <c r="D12" s="270"/>
      <c r="E12" s="224" t="s">
        <v>323</v>
      </c>
      <c r="F12" s="258"/>
      <c r="G12" s="390"/>
      <c r="H12" s="390"/>
      <c r="I12" s="388"/>
      <c r="J12" s="369"/>
      <c r="K12" s="390"/>
      <c r="L12" s="390"/>
      <c r="M12" s="388"/>
      <c r="N12" s="369"/>
      <c r="O12" s="390"/>
      <c r="P12" s="390"/>
      <c r="Q12" s="388"/>
      <c r="R12" s="369"/>
      <c r="S12" s="390"/>
      <c r="T12" s="390"/>
      <c r="U12" s="388"/>
      <c r="V12" s="369"/>
      <c r="W12" s="390"/>
      <c r="X12" s="390"/>
      <c r="Y12" s="388"/>
    </row>
    <row r="13" spans="4:38" ht="18" customHeight="1" thickBot="1" x14ac:dyDescent="0.35">
      <c r="D13" s="270"/>
      <c r="E13" s="224" t="s">
        <v>324</v>
      </c>
      <c r="F13" s="258"/>
      <c r="G13" s="390"/>
      <c r="H13" s="390"/>
      <c r="I13" s="388"/>
      <c r="J13" s="369"/>
      <c r="K13" s="390"/>
      <c r="L13" s="390"/>
      <c r="M13" s="388"/>
      <c r="N13" s="369"/>
      <c r="O13" s="390"/>
      <c r="P13" s="390"/>
      <c r="Q13" s="388"/>
      <c r="R13" s="369"/>
      <c r="S13" s="390"/>
      <c r="T13" s="390"/>
      <c r="U13" s="388"/>
      <c r="V13" s="369"/>
      <c r="W13" s="390"/>
      <c r="X13" s="390"/>
      <c r="Y13" s="388"/>
    </row>
    <row r="14" spans="4:38" ht="18" customHeight="1" x14ac:dyDescent="0.3">
      <c r="D14" s="270"/>
      <c r="E14" s="222" t="s">
        <v>467</v>
      </c>
      <c r="F14" s="256"/>
      <c r="G14" s="395"/>
      <c r="H14" s="395"/>
      <c r="I14" s="396">
        <f>I8+I9-I11</f>
        <v>2061750</v>
      </c>
      <c r="J14" s="369"/>
      <c r="K14" s="397"/>
      <c r="L14" s="398"/>
      <c r="M14" s="399">
        <f>I14</f>
        <v>2061750</v>
      </c>
      <c r="N14" s="369"/>
      <c r="O14" s="397"/>
      <c r="P14" s="398"/>
      <c r="Q14" s="399">
        <f>Q9+Q8</f>
        <v>2000977.5</v>
      </c>
      <c r="R14" s="369"/>
      <c r="S14" s="397"/>
      <c r="T14" s="398"/>
      <c r="U14" s="399">
        <f>U9+U8</f>
        <v>2401173</v>
      </c>
      <c r="V14" s="369"/>
      <c r="W14" s="397"/>
      <c r="X14" s="398"/>
      <c r="Y14" s="399">
        <f>Y9+Y8</f>
        <v>2401173</v>
      </c>
    </row>
    <row r="15" spans="4:38" ht="18" customHeight="1" x14ac:dyDescent="0.3">
      <c r="D15" s="270"/>
      <c r="E15" s="370" t="s">
        <v>466</v>
      </c>
      <c r="F15" s="257"/>
      <c r="G15" s="387"/>
      <c r="H15" s="387"/>
      <c r="I15" s="388"/>
      <c r="J15" s="369"/>
      <c r="K15" s="389"/>
      <c r="L15" s="387"/>
      <c r="M15" s="388"/>
      <c r="N15" s="369"/>
      <c r="O15" s="389"/>
      <c r="P15" s="387"/>
      <c r="Q15" s="388"/>
      <c r="R15" s="369"/>
      <c r="S15" s="389"/>
      <c r="T15" s="387"/>
      <c r="U15" s="388"/>
      <c r="V15" s="369"/>
      <c r="W15" s="389"/>
      <c r="X15" s="387"/>
      <c r="Y15" s="388"/>
    </row>
    <row r="16" spans="4:38" ht="18" customHeight="1" x14ac:dyDescent="0.3">
      <c r="D16" s="270"/>
      <c r="E16" s="370" t="s">
        <v>325</v>
      </c>
      <c r="F16" s="244"/>
      <c r="G16" s="387">
        <v>1000</v>
      </c>
      <c r="H16" s="387">
        <v>80</v>
      </c>
      <c r="I16" s="388">
        <f>H16*G16</f>
        <v>80000</v>
      </c>
      <c r="J16" s="369"/>
      <c r="K16" s="389">
        <v>1000</v>
      </c>
      <c r="L16" s="387"/>
      <c r="M16" s="388">
        <f>I16</f>
        <v>80000</v>
      </c>
      <c r="N16" s="369"/>
      <c r="O16" s="389">
        <v>1000</v>
      </c>
      <c r="P16" s="387"/>
      <c r="Q16" s="388">
        <v>80000</v>
      </c>
      <c r="R16" s="369"/>
      <c r="S16" s="389"/>
      <c r="T16" s="387"/>
      <c r="U16" s="388">
        <f>Q16*(1+20%)</f>
        <v>96000</v>
      </c>
      <c r="V16" s="369"/>
      <c r="W16" s="389"/>
      <c r="X16" s="387"/>
      <c r="Y16" s="388">
        <f>U16</f>
        <v>96000</v>
      </c>
    </row>
    <row r="17" spans="4:36" ht="18" customHeight="1" x14ac:dyDescent="0.3">
      <c r="D17" s="270"/>
      <c r="E17" s="370" t="s">
        <v>326</v>
      </c>
      <c r="F17" s="258"/>
      <c r="G17" s="390">
        <v>1000</v>
      </c>
      <c r="H17" s="390">
        <v>260</v>
      </c>
      <c r="I17" s="388">
        <f>H17*G17</f>
        <v>260000</v>
      </c>
      <c r="J17" s="369"/>
      <c r="K17" s="392">
        <v>1000</v>
      </c>
      <c r="L17" s="390"/>
      <c r="M17" s="388">
        <f>I17</f>
        <v>260000</v>
      </c>
      <c r="N17" s="369"/>
      <c r="O17" s="392"/>
      <c r="P17" s="390"/>
      <c r="Q17" s="388">
        <v>250000</v>
      </c>
      <c r="R17" s="369"/>
      <c r="S17" s="392"/>
      <c r="T17" s="390"/>
      <c r="U17" s="388">
        <f>250*1200</f>
        <v>300000</v>
      </c>
      <c r="V17" s="369"/>
      <c r="W17" s="392"/>
      <c r="X17" s="390"/>
      <c r="Y17" s="388">
        <f>U17</f>
        <v>300000</v>
      </c>
    </row>
    <row r="18" spans="4:36" ht="18" customHeight="1" x14ac:dyDescent="0.3">
      <c r="D18" s="270"/>
      <c r="E18" s="370"/>
      <c r="F18" s="258"/>
      <c r="G18" s="390"/>
      <c r="H18" s="390"/>
      <c r="I18" s="388"/>
      <c r="J18" s="369"/>
      <c r="K18" s="392"/>
      <c r="L18" s="390"/>
      <c r="M18" s="388"/>
      <c r="N18" s="369"/>
      <c r="O18" s="392"/>
      <c r="P18" s="390"/>
      <c r="Q18" s="388"/>
      <c r="R18" s="369"/>
      <c r="S18" s="392"/>
      <c r="T18" s="390"/>
      <c r="U18" s="388"/>
      <c r="V18" s="369"/>
      <c r="W18" s="392"/>
      <c r="X18" s="390"/>
      <c r="Y18" s="388"/>
    </row>
    <row r="19" spans="4:36" ht="18" customHeight="1" x14ac:dyDescent="0.3">
      <c r="D19" s="270" t="s">
        <v>327</v>
      </c>
      <c r="E19" s="370" t="s">
        <v>328</v>
      </c>
      <c r="F19" s="259"/>
      <c r="G19" s="390"/>
      <c r="H19" s="390"/>
      <c r="I19" s="388"/>
      <c r="J19" s="369"/>
      <c r="K19" s="392"/>
      <c r="L19" s="390"/>
      <c r="M19" s="388"/>
      <c r="N19" s="369"/>
      <c r="O19" s="392"/>
      <c r="P19" s="390"/>
      <c r="Q19" s="388"/>
      <c r="R19" s="369"/>
      <c r="S19" s="392"/>
      <c r="T19" s="390"/>
      <c r="U19" s="388"/>
      <c r="V19" s="369"/>
      <c r="W19" s="392"/>
      <c r="X19" s="390"/>
      <c r="Y19" s="388"/>
    </row>
    <row r="20" spans="4:36" ht="18" customHeight="1" x14ac:dyDescent="0.3">
      <c r="D20" s="271"/>
      <c r="E20" s="370" t="s">
        <v>329</v>
      </c>
      <c r="F20" s="258"/>
      <c r="G20" s="400" t="s">
        <v>321</v>
      </c>
      <c r="H20" s="400" t="s">
        <v>321</v>
      </c>
      <c r="I20" s="388">
        <f>(16000*12)+80000</f>
        <v>272000</v>
      </c>
      <c r="J20" s="369"/>
      <c r="K20" s="401" t="s">
        <v>321</v>
      </c>
      <c r="L20" s="400"/>
      <c r="M20" s="388">
        <f>I20</f>
        <v>272000</v>
      </c>
      <c r="N20" s="369"/>
      <c r="O20" s="401"/>
      <c r="P20" s="400"/>
      <c r="Q20" s="388">
        <f>M20</f>
        <v>272000</v>
      </c>
      <c r="R20" s="369"/>
      <c r="S20" s="401"/>
      <c r="T20" s="400"/>
      <c r="U20" s="388">
        <v>350000</v>
      </c>
      <c r="V20" s="369"/>
      <c r="W20" s="401"/>
      <c r="X20" s="400"/>
      <c r="Y20" s="388">
        <f>U20</f>
        <v>350000</v>
      </c>
    </row>
    <row r="21" spans="4:36" ht="18" customHeight="1" x14ac:dyDescent="0.3">
      <c r="D21" s="271"/>
      <c r="E21" s="370" t="s">
        <v>330</v>
      </c>
      <c r="F21" s="258"/>
      <c r="G21" s="390"/>
      <c r="H21" s="390"/>
      <c r="I21" s="388">
        <v>30000</v>
      </c>
      <c r="J21" s="369"/>
      <c r="K21" s="392"/>
      <c r="L21" s="390"/>
      <c r="M21" s="388">
        <v>0</v>
      </c>
      <c r="N21" s="369"/>
      <c r="O21" s="392"/>
      <c r="P21" s="390"/>
      <c r="Q21" s="388"/>
      <c r="R21" s="369"/>
      <c r="S21" s="392"/>
      <c r="T21" s="390"/>
      <c r="U21" s="388"/>
      <c r="V21" s="369"/>
      <c r="W21" s="392"/>
      <c r="X21" s="390"/>
      <c r="Y21" s="388"/>
    </row>
    <row r="22" spans="4:36" ht="18" customHeight="1" x14ac:dyDescent="0.3">
      <c r="D22" s="270"/>
      <c r="E22" s="370" t="s">
        <v>331</v>
      </c>
      <c r="F22" s="258">
        <v>3</v>
      </c>
      <c r="G22" s="390"/>
      <c r="H22" s="390"/>
      <c r="I22" s="388">
        <f>I54</f>
        <v>30000</v>
      </c>
      <c r="J22" s="369"/>
      <c r="K22" s="392"/>
      <c r="L22" s="390"/>
      <c r="M22" s="388">
        <f>I22</f>
        <v>30000</v>
      </c>
      <c r="N22" s="369"/>
      <c r="O22" s="392"/>
      <c r="P22" s="390"/>
      <c r="Q22" s="388">
        <f>M22</f>
        <v>30000</v>
      </c>
      <c r="R22" s="369"/>
      <c r="S22" s="392"/>
      <c r="T22" s="390"/>
      <c r="U22" s="388">
        <f>Q22*(1+20%)</f>
        <v>36000</v>
      </c>
      <c r="V22" s="369"/>
      <c r="W22" s="392"/>
      <c r="X22" s="390"/>
      <c r="Y22" s="388">
        <f>U22</f>
        <v>36000</v>
      </c>
    </row>
    <row r="23" spans="4:36" ht="18" customHeight="1" x14ac:dyDescent="0.3">
      <c r="D23" s="270"/>
      <c r="E23" s="222" t="s">
        <v>444</v>
      </c>
      <c r="F23" s="256"/>
      <c r="G23" s="395"/>
      <c r="H23" s="395"/>
      <c r="I23" s="402">
        <f>SUM(I14:I22)</f>
        <v>2733750</v>
      </c>
      <c r="J23" s="369"/>
      <c r="K23" s="403"/>
      <c r="L23" s="395"/>
      <c r="M23" s="402">
        <f>SUM(M14:M22)</f>
        <v>2703750</v>
      </c>
      <c r="N23" s="369"/>
      <c r="O23" s="403"/>
      <c r="P23" s="395"/>
      <c r="Q23" s="402">
        <f>SUM(Q14:Q22)</f>
        <v>2632977.5</v>
      </c>
      <c r="R23" s="369"/>
      <c r="S23" s="403"/>
      <c r="T23" s="395"/>
      <c r="U23" s="402">
        <f>SUM(U14:U22)</f>
        <v>3183173</v>
      </c>
      <c r="V23" s="369"/>
      <c r="W23" s="403"/>
      <c r="X23" s="395"/>
      <c r="Y23" s="402">
        <f>SUM(Y14:Y22)</f>
        <v>3183173</v>
      </c>
    </row>
    <row r="24" spans="4:36" ht="18" customHeight="1" x14ac:dyDescent="0.3">
      <c r="D24" s="270"/>
      <c r="E24" s="370" t="s">
        <v>332</v>
      </c>
      <c r="F24" s="244"/>
      <c r="G24" s="390">
        <v>0</v>
      </c>
      <c r="H24" s="390">
        <v>0</v>
      </c>
      <c r="I24" s="388">
        <f>H24*G24</f>
        <v>0</v>
      </c>
      <c r="J24" s="369"/>
      <c r="K24" s="392">
        <v>0</v>
      </c>
      <c r="L24" s="390"/>
      <c r="M24" s="388"/>
      <c r="N24" s="369"/>
      <c r="O24" s="392"/>
      <c r="P24" s="390"/>
      <c r="Q24" s="388"/>
      <c r="R24" s="369"/>
      <c r="S24" s="392"/>
      <c r="T24" s="390"/>
      <c r="U24" s="388"/>
      <c r="V24" s="369"/>
      <c r="W24" s="392"/>
      <c r="X24" s="390"/>
      <c r="Y24" s="388"/>
    </row>
    <row r="25" spans="4:36" ht="18" customHeight="1" x14ac:dyDescent="0.3">
      <c r="D25" s="270"/>
      <c r="E25" s="370"/>
      <c r="F25" s="244"/>
      <c r="G25" s="390"/>
      <c r="H25" s="390"/>
      <c r="I25" s="388"/>
      <c r="J25" s="369"/>
      <c r="K25" s="392"/>
      <c r="L25" s="390"/>
      <c r="M25" s="388"/>
      <c r="N25" s="369"/>
      <c r="O25" s="392"/>
      <c r="P25" s="390"/>
      <c r="Q25" s="388"/>
      <c r="R25" s="369"/>
      <c r="S25" s="392"/>
      <c r="T25" s="390"/>
      <c r="U25" s="388"/>
      <c r="V25" s="369"/>
      <c r="W25" s="392"/>
      <c r="X25" s="390"/>
      <c r="Y25" s="388"/>
    </row>
    <row r="26" spans="4:36" ht="18" customHeight="1" x14ac:dyDescent="0.3">
      <c r="D26" s="270"/>
      <c r="E26" s="370" t="s">
        <v>333</v>
      </c>
      <c r="F26" s="244"/>
      <c r="G26" s="404">
        <v>100</v>
      </c>
      <c r="H26" s="390">
        <f>I23/1000</f>
        <v>2733.75</v>
      </c>
      <c r="I26" s="388">
        <f>-H26*G26</f>
        <v>-273375</v>
      </c>
      <c r="J26" s="369"/>
      <c r="K26" s="405">
        <v>151</v>
      </c>
      <c r="L26" s="390"/>
      <c r="M26" s="388">
        <f>-K26*L28</f>
        <v>-408266.25</v>
      </c>
      <c r="N26" s="369"/>
      <c r="O26" s="405">
        <v>130</v>
      </c>
      <c r="P26" s="390"/>
      <c r="Q26" s="388">
        <f>-O26*L27</f>
        <v>-342287.07500000001</v>
      </c>
      <c r="R26" s="369"/>
      <c r="S26" s="405">
        <v>212</v>
      </c>
      <c r="T26" s="390">
        <f>U23/1200</f>
        <v>2652.6441666666665</v>
      </c>
      <c r="U26" s="388">
        <f>-S26*T26</f>
        <v>-562360.56333333324</v>
      </c>
      <c r="V26" s="369"/>
      <c r="W26" s="405">
        <v>166</v>
      </c>
      <c r="X26" s="390">
        <f>Y23/1200</f>
        <v>2652.6441666666665</v>
      </c>
      <c r="Y26" s="388">
        <f>-W26*X26</f>
        <v>-440338.93166666664</v>
      </c>
    </row>
    <row r="27" spans="4:36" ht="18" customHeight="1" x14ac:dyDescent="0.3">
      <c r="D27" s="270"/>
      <c r="E27" s="224"/>
      <c r="F27" s="245"/>
      <c r="G27" s="406"/>
      <c r="H27" s="407"/>
      <c r="I27" s="408"/>
      <c r="J27" s="369"/>
      <c r="K27" s="382"/>
      <c r="L27" s="409">
        <f>Q23/1000</f>
        <v>2632.9775</v>
      </c>
      <c r="M27" s="410"/>
      <c r="N27" s="369"/>
      <c r="O27" s="382"/>
      <c r="P27" s="407"/>
      <c r="Q27" s="410"/>
      <c r="R27" s="369"/>
      <c r="S27" s="411"/>
      <c r="T27" s="409">
        <f>U28/S28</f>
        <v>2344.1971705426354</v>
      </c>
      <c r="U27" s="410"/>
      <c r="V27" s="369"/>
      <c r="W27" s="411"/>
      <c r="X27" s="407"/>
      <c r="Y27" s="412"/>
      <c r="AC27" s="249"/>
      <c r="AJ27" s="183"/>
    </row>
    <row r="28" spans="4:36" ht="18" customHeight="1" x14ac:dyDescent="0.3">
      <c r="D28" s="270"/>
      <c r="E28" s="222" t="s">
        <v>469</v>
      </c>
      <c r="F28" s="256"/>
      <c r="G28" s="395">
        <v>900</v>
      </c>
      <c r="H28" s="395">
        <f>I28/G28</f>
        <v>2733.75</v>
      </c>
      <c r="I28" s="402">
        <f>I23+I26</f>
        <v>2460375</v>
      </c>
      <c r="J28" s="369"/>
      <c r="K28" s="403">
        <v>950</v>
      </c>
      <c r="L28" s="395">
        <f>M23/1000</f>
        <v>2703.75</v>
      </c>
      <c r="M28" s="402">
        <f>K28*L28</f>
        <v>2568562.5</v>
      </c>
      <c r="N28" s="369"/>
      <c r="O28" s="403">
        <v>1021</v>
      </c>
      <c r="P28" s="395">
        <f>Q28/O28</f>
        <v>2632.9775</v>
      </c>
      <c r="Q28" s="402">
        <f>O28*L27</f>
        <v>2688270.0274999999</v>
      </c>
      <c r="R28" s="369"/>
      <c r="S28" s="403">
        <v>1118</v>
      </c>
      <c r="T28" s="395">
        <f>U28/S28</f>
        <v>2344.1971705426354</v>
      </c>
      <c r="U28" s="402">
        <f>U26+U23</f>
        <v>2620812.4366666665</v>
      </c>
      <c r="V28" s="369"/>
      <c r="W28" s="403">
        <v>1246</v>
      </c>
      <c r="X28" s="395">
        <f>Y28/W28</f>
        <v>2201.3114513108612</v>
      </c>
      <c r="Y28" s="402">
        <f>Y26+Y23</f>
        <v>2742834.0683333334</v>
      </c>
    </row>
    <row r="29" spans="4:36" ht="18" customHeight="1" x14ac:dyDescent="0.3">
      <c r="D29" s="270"/>
      <c r="E29" s="223"/>
      <c r="F29" s="244"/>
      <c r="G29" s="387"/>
      <c r="H29" s="387"/>
      <c r="I29" s="388"/>
      <c r="J29" s="369"/>
      <c r="K29" s="387"/>
      <c r="L29" s="387"/>
      <c r="M29" s="388"/>
      <c r="N29" s="369"/>
      <c r="O29" s="387"/>
      <c r="P29" s="387"/>
      <c r="Q29" s="388"/>
      <c r="R29" s="369"/>
      <c r="S29" s="387"/>
      <c r="T29" s="387"/>
      <c r="U29" s="388"/>
      <c r="V29" s="369"/>
      <c r="W29" s="387"/>
      <c r="X29" s="387"/>
      <c r="Y29" s="388"/>
    </row>
    <row r="30" spans="4:36" ht="18" customHeight="1" x14ac:dyDescent="0.3">
      <c r="D30" s="270"/>
      <c r="E30" s="225" t="s">
        <v>493</v>
      </c>
      <c r="F30" s="256">
        <v>4</v>
      </c>
      <c r="G30" s="395"/>
      <c r="H30" s="395"/>
      <c r="I30" s="413">
        <f>I73</f>
        <v>946200</v>
      </c>
      <c r="J30" s="369"/>
      <c r="K30" s="403"/>
      <c r="L30" s="395"/>
      <c r="M30" s="413">
        <f>I30</f>
        <v>946200</v>
      </c>
      <c r="N30" s="369"/>
      <c r="O30" s="403"/>
      <c r="P30" s="395"/>
      <c r="Q30" s="413">
        <f>M30-60000</f>
        <v>886200</v>
      </c>
      <c r="R30" s="369"/>
      <c r="S30" s="403"/>
      <c r="T30" s="395"/>
      <c r="U30" s="413">
        <f>Q30</f>
        <v>886200</v>
      </c>
      <c r="V30" s="369"/>
      <c r="W30" s="403"/>
      <c r="X30" s="395"/>
      <c r="Y30" s="413">
        <f>U30-60000</f>
        <v>826200</v>
      </c>
    </row>
    <row r="31" spans="4:36" ht="18" customHeight="1" x14ac:dyDescent="0.3">
      <c r="D31" s="270"/>
      <c r="E31" s="223"/>
      <c r="F31" s="244"/>
      <c r="G31" s="387"/>
      <c r="H31" s="387"/>
      <c r="I31" s="388"/>
      <c r="J31" s="369"/>
      <c r="K31" s="387"/>
      <c r="L31" s="387"/>
      <c r="M31" s="388"/>
      <c r="N31" s="369"/>
      <c r="O31" s="387"/>
      <c r="P31" s="387"/>
      <c r="Q31" s="388"/>
      <c r="R31" s="369"/>
      <c r="S31" s="387"/>
      <c r="T31" s="387"/>
      <c r="U31" s="388"/>
      <c r="V31" s="369"/>
      <c r="W31" s="387"/>
      <c r="X31" s="387"/>
      <c r="Y31" s="388"/>
    </row>
    <row r="32" spans="4:36" ht="18" customHeight="1" x14ac:dyDescent="0.3">
      <c r="D32" s="270"/>
      <c r="E32" s="222" t="s">
        <v>470</v>
      </c>
      <c r="F32" s="256"/>
      <c r="G32" s="395"/>
      <c r="H32" s="395"/>
      <c r="I32" s="402">
        <f>I30+I28</f>
        <v>3406575</v>
      </c>
      <c r="J32" s="369"/>
      <c r="K32" s="403"/>
      <c r="L32" s="395"/>
      <c r="M32" s="402">
        <f>M30+M28</f>
        <v>3514762.5</v>
      </c>
      <c r="N32" s="369"/>
      <c r="O32" s="403"/>
      <c r="P32" s="395"/>
      <c r="Q32" s="402">
        <f>Q30+Q28</f>
        <v>3574470.0274999999</v>
      </c>
      <c r="R32" s="369"/>
      <c r="S32" s="403"/>
      <c r="T32" s="395"/>
      <c r="U32" s="402">
        <f>U30+U28</f>
        <v>3507012.4366666665</v>
      </c>
      <c r="V32" s="369"/>
      <c r="W32" s="403"/>
      <c r="X32" s="395"/>
      <c r="Y32" s="402">
        <f>Y30+Y28</f>
        <v>3569034.0683333334</v>
      </c>
    </row>
    <row r="33" spans="4:25" ht="18" customHeight="1" thickBot="1" x14ac:dyDescent="0.35">
      <c r="D33" s="270"/>
      <c r="E33" s="371" t="s">
        <v>334</v>
      </c>
      <c r="F33" s="267"/>
      <c r="G33" s="414"/>
      <c r="H33" s="414"/>
      <c r="I33" s="415">
        <f>I34-I32</f>
        <v>193425</v>
      </c>
      <c r="J33" s="369"/>
      <c r="K33" s="392"/>
      <c r="L33" s="390"/>
      <c r="M33" s="388">
        <f>M34-M32</f>
        <v>285237.5</v>
      </c>
      <c r="N33" s="369"/>
      <c r="O33" s="392"/>
      <c r="P33" s="390"/>
      <c r="Q33" s="388">
        <f>Q34-Q32</f>
        <v>509529.97250000015</v>
      </c>
      <c r="R33" s="369"/>
      <c r="S33" s="392"/>
      <c r="T33" s="390"/>
      <c r="U33" s="388">
        <f>U34-U32</f>
        <v>964987.56333333347</v>
      </c>
      <c r="V33" s="369"/>
      <c r="W33" s="392"/>
      <c r="X33" s="390"/>
      <c r="Y33" s="388">
        <f>Y34-Y32</f>
        <v>1414965.9316666666</v>
      </c>
    </row>
    <row r="34" spans="4:25" ht="18" customHeight="1" thickBot="1" x14ac:dyDescent="0.35">
      <c r="D34" s="270"/>
      <c r="E34" s="626" t="s">
        <v>335</v>
      </c>
      <c r="F34" s="627"/>
      <c r="G34" s="416">
        <v>900</v>
      </c>
      <c r="H34" s="416">
        <v>4000</v>
      </c>
      <c r="I34" s="417">
        <f>H34*G34</f>
        <v>3600000</v>
      </c>
      <c r="J34" s="369"/>
      <c r="K34" s="418">
        <v>950</v>
      </c>
      <c r="L34" s="419">
        <f>H34</f>
        <v>4000</v>
      </c>
      <c r="M34" s="420">
        <f>950*4000</f>
        <v>3800000</v>
      </c>
      <c r="N34" s="369"/>
      <c r="O34" s="418">
        <f>O28</f>
        <v>1021</v>
      </c>
      <c r="P34" s="419">
        <v>4000</v>
      </c>
      <c r="Q34" s="420">
        <f>1021*4000</f>
        <v>4084000</v>
      </c>
      <c r="R34" s="369"/>
      <c r="S34" s="418">
        <v>1118</v>
      </c>
      <c r="T34" s="419">
        <v>4000</v>
      </c>
      <c r="U34" s="420">
        <f>S34*4000</f>
        <v>4472000</v>
      </c>
      <c r="V34" s="369"/>
      <c r="W34" s="418"/>
      <c r="X34" s="419">
        <v>1246</v>
      </c>
      <c r="Y34" s="420">
        <f>1246*4000</f>
        <v>4984000</v>
      </c>
    </row>
    <row r="35" spans="4:25" ht="18" customHeight="1" thickBot="1" x14ac:dyDescent="0.35">
      <c r="D35" s="272"/>
      <c r="E35" s="372"/>
      <c r="F35" s="268"/>
      <c r="G35" s="421"/>
      <c r="H35" s="421"/>
      <c r="I35" s="422"/>
      <c r="J35" s="369"/>
      <c r="K35" s="423"/>
      <c r="L35" s="424"/>
      <c r="M35" s="386"/>
      <c r="N35" s="369"/>
      <c r="O35" s="423"/>
      <c r="P35" s="424"/>
      <c r="Q35" s="386"/>
      <c r="R35" s="369"/>
      <c r="S35" s="423"/>
      <c r="T35" s="424"/>
      <c r="U35" s="386"/>
      <c r="V35" s="369"/>
      <c r="W35" s="423"/>
      <c r="X35" s="424"/>
      <c r="Y35" s="386"/>
    </row>
    <row r="38" spans="4:25" ht="17.399999999999999" thickBot="1" x14ac:dyDescent="0.35"/>
    <row r="39" spans="4:25" ht="17.399999999999999" x14ac:dyDescent="0.25">
      <c r="D39" s="264" t="s">
        <v>336</v>
      </c>
      <c r="E39" s="264" t="s">
        <v>446</v>
      </c>
      <c r="F39" s="241"/>
      <c r="G39" s="290" t="s">
        <v>337</v>
      </c>
      <c r="H39" s="303" t="s">
        <v>338</v>
      </c>
      <c r="I39" s="304" t="s">
        <v>459</v>
      </c>
    </row>
    <row r="40" spans="4:25" x14ac:dyDescent="0.3">
      <c r="D40" s="291">
        <v>1</v>
      </c>
      <c r="E40" s="374" t="s">
        <v>340</v>
      </c>
      <c r="G40" s="242"/>
      <c r="H40" s="245"/>
      <c r="I40" s="247"/>
    </row>
    <row r="41" spans="4:25" x14ac:dyDescent="0.25">
      <c r="D41" s="480"/>
      <c r="E41" s="375" t="s">
        <v>447</v>
      </c>
      <c r="G41" s="262">
        <v>300</v>
      </c>
      <c r="H41" s="243">
        <v>1000</v>
      </c>
      <c r="I41" s="247">
        <f>H41*G41</f>
        <v>300000</v>
      </c>
    </row>
    <row r="42" spans="4:25" x14ac:dyDescent="0.25">
      <c r="D42" s="481"/>
      <c r="E42" s="375" t="s">
        <v>448</v>
      </c>
      <c r="G42" s="262">
        <v>1200</v>
      </c>
      <c r="H42" s="243">
        <v>1000</v>
      </c>
      <c r="I42" s="247">
        <f t="shared" ref="I42:I45" si="0">H42*G42</f>
        <v>1200000</v>
      </c>
    </row>
    <row r="43" spans="4:25" x14ac:dyDescent="0.25">
      <c r="D43" s="482"/>
      <c r="E43" s="375" t="s">
        <v>449</v>
      </c>
      <c r="G43" s="262">
        <v>215</v>
      </c>
      <c r="H43" s="243">
        <v>1000</v>
      </c>
      <c r="I43" s="247">
        <f t="shared" si="0"/>
        <v>215000</v>
      </c>
    </row>
    <row r="44" spans="4:25" x14ac:dyDescent="0.25">
      <c r="D44" s="291"/>
      <c r="E44" s="375" t="s">
        <v>451</v>
      </c>
      <c r="G44" s="262">
        <f>295*0.85</f>
        <v>250.75</v>
      </c>
      <c r="H44" s="243">
        <v>1000</v>
      </c>
      <c r="I44" s="247">
        <f t="shared" si="0"/>
        <v>250750</v>
      </c>
    </row>
    <row r="45" spans="4:25" x14ac:dyDescent="0.25">
      <c r="D45" s="291"/>
      <c r="E45" s="375" t="s">
        <v>450</v>
      </c>
      <c r="G45" s="262">
        <v>60</v>
      </c>
      <c r="H45" s="243">
        <v>1000</v>
      </c>
      <c r="I45" s="247">
        <f t="shared" si="0"/>
        <v>60000</v>
      </c>
    </row>
    <row r="46" spans="4:25" x14ac:dyDescent="0.3">
      <c r="D46" s="291"/>
      <c r="E46" s="376" t="s">
        <v>341</v>
      </c>
      <c r="F46" s="295"/>
      <c r="G46" s="296">
        <f>SUM(G41:G45)</f>
        <v>2025.75</v>
      </c>
      <c r="H46" s="297"/>
      <c r="I46" s="298">
        <f>SUM(I41:I45)</f>
        <v>2025750</v>
      </c>
    </row>
    <row r="47" spans="4:25" x14ac:dyDescent="0.3">
      <c r="D47" s="291">
        <v>2</v>
      </c>
      <c r="E47" s="374" t="s">
        <v>494</v>
      </c>
      <c r="G47" s="483"/>
      <c r="H47" s="245"/>
      <c r="I47" s="247"/>
    </row>
    <row r="48" spans="4:25" ht="50.4" x14ac:dyDescent="0.25">
      <c r="D48" s="291"/>
      <c r="E48" s="377" t="s">
        <v>342</v>
      </c>
      <c r="G48" s="242"/>
      <c r="H48" s="245"/>
      <c r="I48" s="247">
        <v>9000</v>
      </c>
    </row>
    <row r="49" spans="4:36" x14ac:dyDescent="0.3">
      <c r="D49" s="291"/>
      <c r="E49" s="373" t="s">
        <v>343</v>
      </c>
      <c r="G49" s="242"/>
      <c r="H49" s="245"/>
      <c r="I49" s="247">
        <v>4</v>
      </c>
    </row>
    <row r="50" spans="4:36" x14ac:dyDescent="0.3">
      <c r="D50" s="291"/>
      <c r="E50" s="376" t="s">
        <v>341</v>
      </c>
      <c r="F50" s="295"/>
      <c r="G50" s="299"/>
      <c r="H50" s="297"/>
      <c r="I50" s="298">
        <f>I48*I49</f>
        <v>36000</v>
      </c>
    </row>
    <row r="51" spans="4:36" x14ac:dyDescent="0.3">
      <c r="D51" s="291">
        <v>3</v>
      </c>
      <c r="E51" s="374" t="s">
        <v>344</v>
      </c>
      <c r="G51" s="242"/>
      <c r="H51" s="245"/>
      <c r="I51" s="247"/>
    </row>
    <row r="52" spans="4:36" x14ac:dyDescent="0.3">
      <c r="D52" s="291"/>
      <c r="E52" s="373" t="s">
        <v>345</v>
      </c>
      <c r="G52" s="242"/>
      <c r="H52" s="245"/>
      <c r="I52" s="247">
        <v>15000</v>
      </c>
    </row>
    <row r="53" spans="4:36" x14ac:dyDescent="0.3">
      <c r="D53" s="291"/>
      <c r="E53" s="373" t="s">
        <v>346</v>
      </c>
      <c r="G53" s="242"/>
      <c r="H53" s="245"/>
      <c r="I53" s="247">
        <v>2</v>
      </c>
    </row>
    <row r="54" spans="4:36" x14ac:dyDescent="0.3">
      <c r="D54" s="291"/>
      <c r="E54" s="376" t="s">
        <v>341</v>
      </c>
      <c r="F54" s="295"/>
      <c r="G54" s="299"/>
      <c r="H54" s="297"/>
      <c r="I54" s="298">
        <f>I53*I52</f>
        <v>30000</v>
      </c>
    </row>
    <row r="55" spans="4:36" x14ac:dyDescent="0.3">
      <c r="D55" s="291">
        <v>4</v>
      </c>
      <c r="E55" s="374" t="s">
        <v>347</v>
      </c>
      <c r="G55" s="133"/>
      <c r="H55" s="127"/>
      <c r="I55" s="128"/>
    </row>
    <row r="56" spans="4:36" x14ac:dyDescent="0.3">
      <c r="D56" s="291"/>
      <c r="E56" s="378" t="s">
        <v>348</v>
      </c>
      <c r="G56" s="242"/>
      <c r="H56" s="245"/>
      <c r="I56" s="247"/>
    </row>
    <row r="57" spans="4:36" x14ac:dyDescent="0.3">
      <c r="D57" s="291"/>
      <c r="E57" s="373" t="s">
        <v>349</v>
      </c>
      <c r="G57" s="242">
        <v>570</v>
      </c>
      <c r="H57" s="245">
        <v>380</v>
      </c>
      <c r="I57" s="247">
        <f>H57*G57</f>
        <v>216600</v>
      </c>
    </row>
    <row r="58" spans="4:36" x14ac:dyDescent="0.3">
      <c r="D58" s="291"/>
      <c r="E58" s="378" t="s">
        <v>350</v>
      </c>
      <c r="G58" s="242" t="s">
        <v>321</v>
      </c>
      <c r="H58" s="245"/>
      <c r="I58" s="247"/>
    </row>
    <row r="59" spans="4:36" x14ac:dyDescent="0.3">
      <c r="D59" s="291"/>
      <c r="E59" s="379" t="s">
        <v>351</v>
      </c>
      <c r="G59" s="242"/>
      <c r="H59" s="245">
        <v>520</v>
      </c>
      <c r="I59" s="247">
        <f>(H59/26)*2000</f>
        <v>40000</v>
      </c>
    </row>
    <row r="60" spans="4:36" ht="13.8" x14ac:dyDescent="0.25">
      <c r="D60" s="291"/>
      <c r="E60" s="616" t="s">
        <v>352</v>
      </c>
      <c r="G60" s="242"/>
      <c r="H60" s="245"/>
      <c r="I60" s="247"/>
    </row>
    <row r="61" spans="4:36" ht="42.6" customHeight="1" x14ac:dyDescent="0.25">
      <c r="D61" s="291"/>
      <c r="E61" s="617"/>
      <c r="G61" s="242"/>
      <c r="H61" s="245"/>
      <c r="I61" s="247"/>
      <c r="AB61" s="183"/>
      <c r="AF61" s="183"/>
      <c r="AJ61" s="183"/>
    </row>
    <row r="62" spans="4:36" x14ac:dyDescent="0.3">
      <c r="D62" s="291"/>
      <c r="E62" s="379" t="s">
        <v>495</v>
      </c>
      <c r="G62" s="242">
        <f>4000*12.5%</f>
        <v>500</v>
      </c>
      <c r="H62" s="245">
        <f>H59</f>
        <v>520</v>
      </c>
      <c r="I62" s="247">
        <f>G62*H62</f>
        <v>260000</v>
      </c>
      <c r="AB62" s="183"/>
      <c r="AF62" s="183"/>
      <c r="AJ62" s="183"/>
    </row>
    <row r="63" spans="4:36" x14ac:dyDescent="0.3">
      <c r="D63" s="291"/>
      <c r="E63" s="376" t="s">
        <v>341</v>
      </c>
      <c r="F63" s="295"/>
      <c r="G63" s="299"/>
      <c r="H63" s="300">
        <f>H59+H57</f>
        <v>900</v>
      </c>
      <c r="I63" s="294">
        <f>I62+I59+I57</f>
        <v>516600</v>
      </c>
      <c r="AB63" s="183"/>
      <c r="AF63" s="183"/>
      <c r="AJ63" s="183"/>
    </row>
    <row r="64" spans="4:36" ht="17.399999999999999" thickBot="1" x14ac:dyDescent="0.35">
      <c r="D64" s="292"/>
      <c r="E64" s="380" t="s">
        <v>353</v>
      </c>
      <c r="G64" s="242"/>
      <c r="H64" s="245"/>
      <c r="I64" s="247"/>
      <c r="AB64" s="183"/>
      <c r="AF64" s="183"/>
      <c r="AJ64" s="183"/>
    </row>
    <row r="65" spans="4:36" x14ac:dyDescent="0.3">
      <c r="D65" s="292"/>
      <c r="E65" s="381" t="s">
        <v>496</v>
      </c>
      <c r="F65" s="287"/>
      <c r="G65" s="242"/>
      <c r="H65" s="245"/>
      <c r="I65" s="247"/>
      <c r="J65" s="273"/>
      <c r="K65" s="253"/>
      <c r="L65" s="253"/>
      <c r="M65" s="253"/>
      <c r="N65" s="253"/>
      <c r="O65" s="253"/>
      <c r="P65" s="253"/>
      <c r="Q65" s="253"/>
      <c r="R65" s="253"/>
      <c r="S65" s="253"/>
      <c r="T65" s="253"/>
      <c r="U65" s="253"/>
      <c r="V65" s="253"/>
      <c r="W65" s="253"/>
      <c r="X65" s="253"/>
      <c r="Y65" s="254"/>
      <c r="AB65" s="183"/>
      <c r="AF65" s="183"/>
      <c r="AJ65" s="183"/>
    </row>
    <row r="66" spans="4:36" x14ac:dyDescent="0.3">
      <c r="D66" s="292"/>
      <c r="E66" s="382" t="s">
        <v>354</v>
      </c>
      <c r="F66" s="134"/>
      <c r="G66" s="242"/>
      <c r="H66" s="245"/>
      <c r="I66" s="247">
        <f>21000*12</f>
        <v>252000</v>
      </c>
      <c r="J66" s="255"/>
      <c r="K66" s="245"/>
      <c r="L66" s="245"/>
      <c r="M66" s="275">
        <f>21000*12</f>
        <v>252000</v>
      </c>
      <c r="N66" s="245"/>
      <c r="O66" s="245"/>
      <c r="P66" s="245"/>
      <c r="Q66" s="275">
        <f>21000*12</f>
        <v>252000</v>
      </c>
      <c r="R66" s="245"/>
      <c r="S66" s="245"/>
      <c r="T66" s="245"/>
      <c r="U66" s="275">
        <f>Q66</f>
        <v>252000</v>
      </c>
      <c r="V66" s="245"/>
      <c r="W66" s="245"/>
      <c r="X66" s="245"/>
      <c r="Y66" s="277">
        <f>U66</f>
        <v>252000</v>
      </c>
      <c r="AB66" s="183"/>
      <c r="AF66" s="183"/>
      <c r="AJ66" s="183"/>
    </row>
    <row r="67" spans="4:36" x14ac:dyDescent="0.3">
      <c r="D67" s="292"/>
      <c r="E67" s="382"/>
      <c r="F67" s="134"/>
      <c r="G67" s="242"/>
      <c r="H67" s="245"/>
      <c r="I67" s="247"/>
      <c r="J67" s="255"/>
      <c r="K67" s="245"/>
      <c r="L67" s="245"/>
      <c r="M67" s="275"/>
      <c r="N67" s="245"/>
      <c r="O67" s="245"/>
      <c r="P67" s="245"/>
      <c r="Q67" s="275"/>
      <c r="R67" s="245"/>
      <c r="S67" s="245"/>
      <c r="T67" s="245"/>
      <c r="U67" s="275"/>
      <c r="V67" s="245"/>
      <c r="W67" s="245"/>
      <c r="X67" s="245"/>
      <c r="Y67" s="277"/>
      <c r="AB67" s="183"/>
      <c r="AF67" s="183"/>
      <c r="AJ67" s="183"/>
    </row>
    <row r="68" spans="4:36" x14ac:dyDescent="0.3">
      <c r="D68" s="292"/>
      <c r="E68" s="382" t="s">
        <v>497</v>
      </c>
      <c r="F68" s="134"/>
      <c r="G68" s="242"/>
      <c r="H68" s="245"/>
      <c r="I68" s="247">
        <v>120000</v>
      </c>
      <c r="J68" s="255"/>
      <c r="K68" s="245"/>
      <c r="L68" s="245"/>
      <c r="M68" s="275">
        <v>120000</v>
      </c>
      <c r="N68" s="245"/>
      <c r="O68" s="245"/>
      <c r="P68" s="245"/>
      <c r="Q68" s="275">
        <f>I68-60000</f>
        <v>60000</v>
      </c>
      <c r="R68" s="245"/>
      <c r="S68" s="245"/>
      <c r="T68" s="245"/>
      <c r="U68" s="275">
        <f>Q68</f>
        <v>60000</v>
      </c>
      <c r="V68" s="245"/>
      <c r="W68" s="245"/>
      <c r="X68" s="245"/>
      <c r="Y68" s="277">
        <f>U68-60000</f>
        <v>0</v>
      </c>
      <c r="AB68" s="183"/>
      <c r="AF68" s="183"/>
      <c r="AJ68" s="183"/>
    </row>
    <row r="69" spans="4:36" x14ac:dyDescent="0.3">
      <c r="D69" s="292"/>
      <c r="E69" s="382"/>
      <c r="F69" s="134"/>
      <c r="G69" s="242"/>
      <c r="H69" s="245"/>
      <c r="I69" s="247"/>
      <c r="J69" s="255"/>
      <c r="K69" s="245"/>
      <c r="L69" s="245"/>
      <c r="M69" s="275"/>
      <c r="N69" s="245"/>
      <c r="O69" s="245"/>
      <c r="P69" s="245"/>
      <c r="Q69" s="275"/>
      <c r="R69" s="245"/>
      <c r="S69" s="245"/>
      <c r="T69" s="245"/>
      <c r="U69" s="275"/>
      <c r="V69" s="245"/>
      <c r="W69" s="245"/>
      <c r="X69" s="245"/>
      <c r="Y69" s="277"/>
      <c r="AB69" s="183"/>
      <c r="AF69" s="183"/>
      <c r="AJ69" s="183"/>
    </row>
    <row r="70" spans="4:36" x14ac:dyDescent="0.3">
      <c r="D70" s="292"/>
      <c r="E70" s="383" t="s">
        <v>498</v>
      </c>
      <c r="F70" s="134"/>
      <c r="G70" s="242"/>
      <c r="H70" s="245"/>
      <c r="I70" s="247">
        <f>4800*12</f>
        <v>57600</v>
      </c>
      <c r="J70" s="255"/>
      <c r="K70" s="245"/>
      <c r="L70" s="245"/>
      <c r="M70" s="275">
        <f>4800*12</f>
        <v>57600</v>
      </c>
      <c r="N70" s="245"/>
      <c r="O70" s="245"/>
      <c r="P70" s="245"/>
      <c r="Q70" s="275">
        <f>4800*12</f>
        <v>57600</v>
      </c>
      <c r="R70" s="245"/>
      <c r="S70" s="245"/>
      <c r="T70" s="245"/>
      <c r="U70" s="275">
        <f>Q70</f>
        <v>57600</v>
      </c>
      <c r="V70" s="245"/>
      <c r="W70" s="245"/>
      <c r="X70" s="245"/>
      <c r="Y70" s="277">
        <f>U70</f>
        <v>57600</v>
      </c>
      <c r="AB70" s="183"/>
      <c r="AF70" s="183"/>
      <c r="AJ70" s="183"/>
    </row>
    <row r="71" spans="4:36" x14ac:dyDescent="0.3">
      <c r="D71" s="292"/>
      <c r="E71" s="382" t="s">
        <v>355</v>
      </c>
      <c r="F71" s="134"/>
      <c r="G71" s="242"/>
      <c r="H71" s="245"/>
      <c r="I71" s="247"/>
      <c r="J71" s="255"/>
      <c r="K71" s="245"/>
      <c r="L71" s="245"/>
      <c r="M71" s="275"/>
      <c r="N71" s="245"/>
      <c r="O71" s="245"/>
      <c r="P71" s="245"/>
      <c r="Q71" s="275"/>
      <c r="R71" s="245"/>
      <c r="S71" s="245"/>
      <c r="T71" s="245"/>
      <c r="U71" s="275"/>
      <c r="V71" s="245"/>
      <c r="W71" s="245"/>
      <c r="X71" s="245"/>
      <c r="Y71" s="277"/>
      <c r="AB71" s="183"/>
      <c r="AF71" s="183"/>
      <c r="AJ71" s="183"/>
    </row>
    <row r="72" spans="4:36" ht="17.399999999999999" thickBot="1" x14ac:dyDescent="0.35">
      <c r="D72" s="292"/>
      <c r="E72" s="384" t="s">
        <v>341</v>
      </c>
      <c r="F72" s="301"/>
      <c r="G72" s="299"/>
      <c r="H72" s="297"/>
      <c r="I72" s="294">
        <f>I70+I68+I66</f>
        <v>429600</v>
      </c>
      <c r="J72" s="274"/>
      <c r="K72" s="251"/>
      <c r="L72" s="251"/>
      <c r="M72" s="276">
        <f>M70+M68+M66</f>
        <v>429600</v>
      </c>
      <c r="N72" s="251"/>
      <c r="O72" s="251"/>
      <c r="P72" s="251"/>
      <c r="Q72" s="276">
        <f>Q70+Q68+Q66</f>
        <v>369600</v>
      </c>
      <c r="R72" s="251"/>
      <c r="S72" s="251"/>
      <c r="T72" s="251"/>
      <c r="U72" s="276">
        <f>U70+U68+U66</f>
        <v>369600</v>
      </c>
      <c r="V72" s="251"/>
      <c r="W72" s="251"/>
      <c r="X72" s="251"/>
      <c r="Y72" s="278">
        <f>Y70+Y68+Y66</f>
        <v>309600</v>
      </c>
      <c r="AB72" s="183"/>
      <c r="AF72" s="183"/>
      <c r="AJ72" s="183"/>
    </row>
    <row r="73" spans="4:36" ht="18" thickBot="1" x14ac:dyDescent="0.35">
      <c r="D73" s="291"/>
      <c r="E73" s="385" t="s">
        <v>339</v>
      </c>
      <c r="F73"/>
      <c r="G73" s="242"/>
      <c r="H73" s="245"/>
      <c r="I73" s="305">
        <f>I72+I63</f>
        <v>946200</v>
      </c>
      <c r="AB73" s="183"/>
      <c r="AF73" s="183"/>
      <c r="AJ73" s="183"/>
    </row>
    <row r="74" spans="4:36" ht="17.399999999999999" thickBot="1" x14ac:dyDescent="0.35">
      <c r="D74" s="293"/>
      <c r="E74" s="386"/>
      <c r="F74"/>
      <c r="G74" s="250"/>
      <c r="H74" s="251"/>
      <c r="I74" s="252"/>
      <c r="AB74" s="183"/>
      <c r="AF74" s="183"/>
      <c r="AJ74" s="183"/>
    </row>
    <row r="75" spans="4:36" x14ac:dyDescent="0.3">
      <c r="AB75" s="183"/>
      <c r="AF75" s="183"/>
      <c r="AJ75" s="183"/>
    </row>
  </sheetData>
  <mergeCells count="11">
    <mergeCell ref="D2:Y2"/>
    <mergeCell ref="AG4:AH4"/>
    <mergeCell ref="AK4:AL4"/>
    <mergeCell ref="E60:E61"/>
    <mergeCell ref="F4:I4"/>
    <mergeCell ref="K4:M4"/>
    <mergeCell ref="O4:Q4"/>
    <mergeCell ref="S4:U4"/>
    <mergeCell ref="W4:Y4"/>
    <mergeCell ref="AC4:AD4"/>
    <mergeCell ref="E34:F34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C58C6-8F60-42CB-9B0E-0CE4CE5CF24F}">
  <dimension ref="A2:L43"/>
  <sheetViews>
    <sheetView zoomScale="103" zoomScaleNormal="175" workbookViewId="0">
      <selection activeCell="F24" sqref="F24"/>
    </sheetView>
  </sheetViews>
  <sheetFormatPr defaultColWidth="8.88671875" defaultRowHeight="14.4" x14ac:dyDescent="0.3"/>
  <cols>
    <col min="1" max="1" width="12.44140625" customWidth="1"/>
    <col min="2" max="2" width="42.21875" style="183" customWidth="1"/>
    <col min="3" max="7" width="20.33203125" style="183" customWidth="1"/>
    <col min="8" max="9" width="11.21875" style="183" customWidth="1"/>
    <col min="13" max="16384" width="8.88671875" style="183"/>
  </cols>
  <sheetData>
    <row r="2" spans="2:9" ht="15" thickBot="1" x14ac:dyDescent="0.35"/>
    <row r="3" spans="2:9" ht="25.2" thickBot="1" x14ac:dyDescent="0.35">
      <c r="B3" s="628" t="s">
        <v>489</v>
      </c>
      <c r="C3" s="629"/>
      <c r="D3" s="629"/>
      <c r="E3" s="629"/>
      <c r="F3" s="629"/>
      <c r="G3" s="630"/>
    </row>
    <row r="4" spans="2:9" customFormat="1" ht="15" thickBot="1" x14ac:dyDescent="0.35">
      <c r="B4" s="433"/>
      <c r="G4" s="434"/>
    </row>
    <row r="5" spans="2:9" ht="19.2" thickBot="1" x14ac:dyDescent="0.35">
      <c r="B5" s="313" t="s">
        <v>313</v>
      </c>
      <c r="C5" s="314" t="s">
        <v>460</v>
      </c>
      <c r="D5" s="314" t="s">
        <v>461</v>
      </c>
      <c r="E5" s="314" t="s">
        <v>462</v>
      </c>
      <c r="F5" s="314" t="s">
        <v>463</v>
      </c>
      <c r="G5" s="315" t="s">
        <v>464</v>
      </c>
    </row>
    <row r="6" spans="2:9" ht="18" x14ac:dyDescent="0.3">
      <c r="B6" s="311"/>
      <c r="C6" s="311"/>
      <c r="D6" s="311"/>
      <c r="E6" s="311"/>
      <c r="F6" s="311"/>
      <c r="G6" s="435"/>
    </row>
    <row r="7" spans="2:9" ht="24.6" customHeight="1" x14ac:dyDescent="0.3">
      <c r="B7" s="360" t="s">
        <v>490</v>
      </c>
      <c r="C7" s="631"/>
      <c r="D7" s="632"/>
      <c r="E7" s="632"/>
      <c r="F7" s="632"/>
      <c r="G7" s="633"/>
    </row>
    <row r="8" spans="2:9" ht="24.6" customHeight="1" x14ac:dyDescent="0.3">
      <c r="B8" s="355" t="s">
        <v>380</v>
      </c>
      <c r="C8" s="356">
        <f>'SALES FORECAST'!C15</f>
        <v>3600000</v>
      </c>
      <c r="D8" s="356">
        <f>'SALES FORECAST'!D15</f>
        <v>3798000</v>
      </c>
      <c r="E8" s="356">
        <f>'SALES FORECAST'!E15</f>
        <v>4082850</v>
      </c>
      <c r="F8" s="356">
        <f>'SALES FORECAST'!F15</f>
        <v>4470720.7499999991</v>
      </c>
      <c r="G8" s="436">
        <f>'SALES FORECAST'!G15</f>
        <v>4984853.6362499986</v>
      </c>
    </row>
    <row r="9" spans="2:9" ht="24.6" customHeight="1" x14ac:dyDescent="0.3">
      <c r="B9" s="355" t="s">
        <v>381</v>
      </c>
      <c r="C9" s="356">
        <f>'3 STATEMENT '!L9</f>
        <v>273375</v>
      </c>
      <c r="D9" s="356">
        <f>'3 STATEMENT '!M9</f>
        <v>408266.25</v>
      </c>
      <c r="E9" s="356">
        <f>'3 STATEMENT '!N9</f>
        <v>342287.07500000001</v>
      </c>
      <c r="F9" s="356">
        <f>'3 STATEMENT '!O9</f>
        <v>562360.56333333324</v>
      </c>
      <c r="G9" s="436">
        <f>'3 STATEMENT '!P9</f>
        <v>440338.93166666664</v>
      </c>
    </row>
    <row r="10" spans="2:9" ht="24.6" customHeight="1" x14ac:dyDescent="0.3">
      <c r="B10" s="355" t="s">
        <v>382</v>
      </c>
      <c r="C10" s="356">
        <v>5000</v>
      </c>
      <c r="D10" s="356">
        <f>C10*(1.5)</f>
        <v>7500</v>
      </c>
      <c r="E10" s="356">
        <f>D10*(1.5)</f>
        <v>11250</v>
      </c>
      <c r="F10" s="356">
        <f>E10*(1.5)</f>
        <v>16875</v>
      </c>
      <c r="G10" s="436">
        <f>F10*(1.5)</f>
        <v>25312.5</v>
      </c>
    </row>
    <row r="11" spans="2:9" ht="24.6" customHeight="1" x14ac:dyDescent="0.3">
      <c r="B11" s="357" t="s">
        <v>22</v>
      </c>
      <c r="C11" s="358">
        <f>SUM(C8:C10)</f>
        <v>3878375</v>
      </c>
      <c r="D11" s="358">
        <f t="shared" ref="D11:G11" si="0">SUM(D8:D10)</f>
        <v>4213766.25</v>
      </c>
      <c r="E11" s="358">
        <f t="shared" si="0"/>
        <v>4436387.0750000002</v>
      </c>
      <c r="F11" s="358">
        <f t="shared" si="0"/>
        <v>5049956.3133333325</v>
      </c>
      <c r="G11" s="437">
        <f t="shared" si="0"/>
        <v>5450505.0679166652</v>
      </c>
    </row>
    <row r="12" spans="2:9" ht="24.6" customHeight="1" x14ac:dyDescent="0.3">
      <c r="B12" s="311"/>
      <c r="C12" s="356"/>
      <c r="D12" s="356"/>
      <c r="E12" s="356"/>
      <c r="F12" s="356"/>
      <c r="G12" s="436"/>
    </row>
    <row r="13" spans="2:9" ht="24.6" customHeight="1" x14ac:dyDescent="0.3">
      <c r="B13" s="360" t="s">
        <v>491</v>
      </c>
      <c r="C13" s="631"/>
      <c r="D13" s="632"/>
      <c r="E13" s="632"/>
      <c r="F13" s="632"/>
      <c r="G13" s="633"/>
      <c r="I13" s="488"/>
    </row>
    <row r="14" spans="2:9" ht="24.6" customHeight="1" x14ac:dyDescent="0.3">
      <c r="B14" s="355" t="str">
        <f>'3 STATEMENT '!D7</f>
        <v xml:space="preserve">Raw material </v>
      </c>
      <c r="C14" s="356">
        <f>'3 STATEMENT '!E7</f>
        <v>2025750</v>
      </c>
      <c r="D14" s="356">
        <f>'3 STATEMENT '!F7</f>
        <v>2025750</v>
      </c>
      <c r="E14" s="356">
        <f>'3 STATEMENT '!G7</f>
        <v>1964977.5</v>
      </c>
      <c r="F14" s="356">
        <f>'3 STATEMENT '!H7</f>
        <v>2357973</v>
      </c>
      <c r="G14" s="436">
        <f>'3 STATEMENT '!I7</f>
        <v>2357973</v>
      </c>
    </row>
    <row r="15" spans="2:9" ht="24.6" customHeight="1" x14ac:dyDescent="0.3">
      <c r="B15" s="355" t="str">
        <f>'3 STATEMENT '!D8</f>
        <v xml:space="preserve">Carriage inward </v>
      </c>
      <c r="C15" s="356">
        <f>'3 STATEMENT '!E8</f>
        <v>36000</v>
      </c>
      <c r="D15" s="356">
        <f>'3 STATEMENT '!F8</f>
        <v>36000</v>
      </c>
      <c r="E15" s="356">
        <f>'3 STATEMENT '!G8</f>
        <v>36000</v>
      </c>
      <c r="F15" s="356">
        <f>'3 STATEMENT '!H8</f>
        <v>43200</v>
      </c>
      <c r="G15" s="436">
        <f>'3 STATEMENT '!I8</f>
        <v>43200</v>
      </c>
    </row>
    <row r="16" spans="2:9" ht="24.6" customHeight="1" x14ac:dyDescent="0.3">
      <c r="B16" s="355" t="str">
        <f>'3 STATEMENT '!D9</f>
        <v xml:space="preserve">Manufacturing </v>
      </c>
      <c r="C16" s="356">
        <f>'3 STATEMENT '!E9</f>
        <v>340000</v>
      </c>
      <c r="D16" s="356">
        <f>'3 STATEMENT '!F9</f>
        <v>340000</v>
      </c>
      <c r="E16" s="356">
        <f>'3 STATEMENT '!G9</f>
        <v>330000</v>
      </c>
      <c r="F16" s="356">
        <f>'3 STATEMENT '!H9</f>
        <v>396000</v>
      </c>
      <c r="G16" s="436">
        <f>'3 STATEMENT '!I9</f>
        <v>396000</v>
      </c>
    </row>
    <row r="17" spans="2:7" ht="24.6" customHeight="1" x14ac:dyDescent="0.3">
      <c r="B17" s="355" t="str">
        <f>'3 STATEMENT '!D10</f>
        <v xml:space="preserve">Rent </v>
      </c>
      <c r="C17" s="356">
        <f>'3 STATEMENT '!E10</f>
        <v>272000</v>
      </c>
      <c r="D17" s="356">
        <f>'3 STATEMENT '!F10</f>
        <v>272000</v>
      </c>
      <c r="E17" s="356">
        <f>'3 STATEMENT '!G10</f>
        <v>272000</v>
      </c>
      <c r="F17" s="356">
        <f>'3 STATEMENT '!H10</f>
        <v>350000</v>
      </c>
      <c r="G17" s="436">
        <f>'3 STATEMENT '!I10</f>
        <v>350000</v>
      </c>
    </row>
    <row r="18" spans="2:7" ht="24.6" customHeight="1" x14ac:dyDescent="0.3">
      <c r="B18" s="355" t="str">
        <f>'3 STATEMENT '!D11</f>
        <v xml:space="preserve">Salary </v>
      </c>
      <c r="C18" s="356">
        <f>'3 STATEMENT '!E11</f>
        <v>60000</v>
      </c>
      <c r="D18" s="356">
        <f>'3 STATEMENT '!F11</f>
        <v>30000</v>
      </c>
      <c r="E18" s="356">
        <f>'3 STATEMENT '!G11</f>
        <v>30000</v>
      </c>
      <c r="F18" s="356">
        <f>'3 STATEMENT '!H11</f>
        <v>36000</v>
      </c>
      <c r="G18" s="436">
        <f>'3 STATEMENT '!I11</f>
        <v>36000</v>
      </c>
    </row>
    <row r="19" spans="2:7" ht="24.6" customHeight="1" x14ac:dyDescent="0.3">
      <c r="B19" s="355" t="str">
        <f>'3 STATEMENT '!D12</f>
        <v xml:space="preserve">Advertisment </v>
      </c>
      <c r="C19" s="356">
        <f>'3 STATEMENT '!E12</f>
        <v>429600</v>
      </c>
      <c r="D19" s="356">
        <f>'3 STATEMENT '!F12</f>
        <v>429600</v>
      </c>
      <c r="E19" s="356">
        <f>'3 STATEMENT '!G12</f>
        <v>369600</v>
      </c>
      <c r="F19" s="356">
        <f>'3 STATEMENT '!H12</f>
        <v>369600</v>
      </c>
      <c r="G19" s="436">
        <f>'3 STATEMENT '!I12</f>
        <v>309600</v>
      </c>
    </row>
    <row r="20" spans="2:7" ht="24.6" customHeight="1" x14ac:dyDescent="0.3">
      <c r="B20" s="355" t="str">
        <f>'3 STATEMENT '!D13</f>
        <v xml:space="preserve">Selling cost </v>
      </c>
      <c r="C20" s="356">
        <f>'3 STATEMENT '!E13</f>
        <v>516600</v>
      </c>
      <c r="D20" s="356">
        <f>'3 STATEMENT '!F13</f>
        <v>516600</v>
      </c>
      <c r="E20" s="356">
        <f>'3 STATEMENT '!G13</f>
        <v>516600</v>
      </c>
      <c r="F20" s="356">
        <f>'3 STATEMENT '!H13</f>
        <v>516600</v>
      </c>
      <c r="G20" s="436">
        <f>'3 STATEMENT '!I13</f>
        <v>516600</v>
      </c>
    </row>
    <row r="21" spans="2:7" ht="24.6" customHeight="1" x14ac:dyDescent="0.3">
      <c r="B21" s="355" t="str">
        <f>'3 STATEMENT '!D15</f>
        <v xml:space="preserve">Trademark </v>
      </c>
      <c r="C21" s="356">
        <f>'3 STATEMENT '!E15</f>
        <v>5000</v>
      </c>
      <c r="D21" s="356">
        <f>'3 STATEMENT '!F15</f>
        <v>0</v>
      </c>
      <c r="E21" s="356">
        <f>'3 STATEMENT '!G15</f>
        <v>0</v>
      </c>
      <c r="F21" s="356">
        <f>'3 STATEMENT '!H15</f>
        <v>0</v>
      </c>
      <c r="G21" s="436">
        <f>'3 STATEMENT '!I15</f>
        <v>0</v>
      </c>
    </row>
    <row r="22" spans="2:7" ht="24.6" customHeight="1" x14ac:dyDescent="0.3">
      <c r="B22" s="355" t="str">
        <f>'3 STATEMENT '!D16</f>
        <v xml:space="preserve">Copyright </v>
      </c>
      <c r="C22" s="356">
        <f>'3 STATEMENT '!E16</f>
        <v>7500</v>
      </c>
      <c r="D22" s="356">
        <f>'3 STATEMENT '!F16</f>
        <v>0</v>
      </c>
      <c r="E22" s="356">
        <f>'3 STATEMENT '!G16</f>
        <v>0</v>
      </c>
      <c r="F22" s="356">
        <f>'3 STATEMENT '!H16</f>
        <v>0</v>
      </c>
      <c r="G22" s="436">
        <f>'3 STATEMENT '!I16</f>
        <v>0</v>
      </c>
    </row>
    <row r="23" spans="2:7" ht="24.6" customHeight="1" x14ac:dyDescent="0.3">
      <c r="B23" s="355" t="str">
        <f>'3 STATEMENT '!D17</f>
        <v xml:space="preserve">Misc. </v>
      </c>
      <c r="C23" s="356">
        <f>'3 STATEMENT '!E17</f>
        <v>188372.5</v>
      </c>
      <c r="D23" s="356">
        <f>'3 STATEMENT '!F17</f>
        <v>186247.5</v>
      </c>
      <c r="E23" s="356">
        <f>'3 STATEMENT '!G17</f>
        <v>175958.875</v>
      </c>
      <c r="F23" s="356">
        <f>'3 STATEMENT '!H17</f>
        <v>203468.65000000002</v>
      </c>
      <c r="G23" s="436">
        <f>'3 STATEMENT '!I17</f>
        <v>200468.65000000002</v>
      </c>
    </row>
    <row r="24" spans="2:7" ht="24.6" customHeight="1" x14ac:dyDescent="0.3">
      <c r="B24" s="357" t="s">
        <v>383</v>
      </c>
      <c r="C24" s="358">
        <f>SUM(C14:C23)</f>
        <v>3880822.5</v>
      </c>
      <c r="D24" s="358">
        <f>SUM(D14:D23)</f>
        <v>3836197.5</v>
      </c>
      <c r="E24" s="358">
        <f>SUM(E14:E23)</f>
        <v>3695136.375</v>
      </c>
      <c r="F24" s="358">
        <f>SUM(F14:F23)</f>
        <v>4272841.6500000004</v>
      </c>
      <c r="G24" s="437">
        <f>SUM(G14:G23)</f>
        <v>4209841.6500000004</v>
      </c>
    </row>
    <row r="25" spans="2:7" ht="24.6" customHeight="1" x14ac:dyDescent="0.3">
      <c r="B25" s="359" t="s">
        <v>384</v>
      </c>
      <c r="C25" s="361">
        <f>C11-C24</f>
        <v>-2447.5</v>
      </c>
      <c r="D25" s="361">
        <f>D11-D24</f>
        <v>377568.75</v>
      </c>
      <c r="E25" s="361">
        <f>E11-E24</f>
        <v>741250.70000000019</v>
      </c>
      <c r="F25" s="361">
        <f>F11-F24</f>
        <v>777114.66333333217</v>
      </c>
      <c r="G25" s="438">
        <f>G11-G24</f>
        <v>1240663.4179166649</v>
      </c>
    </row>
    <row r="26" spans="2:7" ht="24.6" customHeight="1" x14ac:dyDescent="0.3">
      <c r="B26" s="355" t="str">
        <f>'3 STATEMENT '!D14</f>
        <v xml:space="preserve">Interest on loan </v>
      </c>
      <c r="C26" s="356">
        <f>'3 STATEMENT '!E14</f>
        <v>75000</v>
      </c>
      <c r="D26" s="356">
        <f>'3 STATEMENT '!F14</f>
        <v>75000</v>
      </c>
      <c r="E26" s="356">
        <v>0</v>
      </c>
      <c r="F26" s="356">
        <v>0</v>
      </c>
      <c r="G26" s="436">
        <v>0</v>
      </c>
    </row>
    <row r="27" spans="2:7" ht="24.6" customHeight="1" x14ac:dyDescent="0.3">
      <c r="B27" s="359" t="s">
        <v>385</v>
      </c>
      <c r="C27" s="361">
        <f>C25-C26</f>
        <v>-77447.5</v>
      </c>
      <c r="D27" s="361">
        <f t="shared" ref="D27:G27" si="1">D25-D26</f>
        <v>302568.75</v>
      </c>
      <c r="E27" s="361">
        <f t="shared" si="1"/>
        <v>741250.70000000019</v>
      </c>
      <c r="F27" s="361">
        <f t="shared" si="1"/>
        <v>777114.66333333217</v>
      </c>
      <c r="G27" s="438">
        <f t="shared" si="1"/>
        <v>1240663.4179166649</v>
      </c>
    </row>
    <row r="28" spans="2:7" ht="24.6" customHeight="1" x14ac:dyDescent="0.3">
      <c r="B28" s="355" t="s">
        <v>386</v>
      </c>
      <c r="C28" s="356">
        <v>0</v>
      </c>
      <c r="D28" s="356">
        <f>D27*30%</f>
        <v>90770.625</v>
      </c>
      <c r="E28" s="356">
        <v>0</v>
      </c>
      <c r="F28" s="356">
        <v>0</v>
      </c>
      <c r="G28" s="436">
        <v>0</v>
      </c>
    </row>
    <row r="29" spans="2:7" ht="24.6" customHeight="1" x14ac:dyDescent="0.3">
      <c r="B29" s="355" t="s">
        <v>387</v>
      </c>
      <c r="C29" s="356">
        <v>0</v>
      </c>
      <c r="D29" s="356">
        <f>D28*4%</f>
        <v>3630.8250000000003</v>
      </c>
      <c r="E29" s="356">
        <v>0</v>
      </c>
      <c r="F29" s="356">
        <v>0</v>
      </c>
      <c r="G29" s="436">
        <v>0</v>
      </c>
    </row>
    <row r="30" spans="2:7" ht="24.6" customHeight="1" thickBot="1" x14ac:dyDescent="0.35">
      <c r="B30" s="439" t="s">
        <v>388</v>
      </c>
      <c r="C30" s="440">
        <f>C27-C28-C29</f>
        <v>-77447.5</v>
      </c>
      <c r="D30" s="440">
        <f t="shared" ref="D30:G30" si="2">D27-D28-D29</f>
        <v>208167.3</v>
      </c>
      <c r="E30" s="440">
        <f t="shared" si="2"/>
        <v>741250.70000000019</v>
      </c>
      <c r="F30" s="440">
        <f t="shared" si="2"/>
        <v>777114.66333333217</v>
      </c>
      <c r="G30" s="441">
        <f t="shared" si="2"/>
        <v>1240663.4179166649</v>
      </c>
    </row>
    <row r="32" spans="2:7" x14ac:dyDescent="0.3">
      <c r="B32" s="183" t="s">
        <v>515</v>
      </c>
    </row>
    <row r="33" spans="2:2" x14ac:dyDescent="0.3">
      <c r="B33" s="183" t="s">
        <v>516</v>
      </c>
    </row>
    <row r="36" spans="2:2" ht="15.6" customHeight="1" x14ac:dyDescent="0.3"/>
    <row r="39" spans="2:2" x14ac:dyDescent="0.3">
      <c r="B39" s="354"/>
    </row>
    <row r="40" spans="2:2" x14ac:dyDescent="0.3">
      <c r="B40" s="354"/>
    </row>
    <row r="41" spans="2:2" x14ac:dyDescent="0.3">
      <c r="B41" s="354"/>
    </row>
    <row r="42" spans="2:2" x14ac:dyDescent="0.3">
      <c r="B42" s="354"/>
    </row>
    <row r="43" spans="2:2" x14ac:dyDescent="0.3">
      <c r="B43" s="354"/>
    </row>
  </sheetData>
  <mergeCells count="3">
    <mergeCell ref="B3:G3"/>
    <mergeCell ref="C7:G7"/>
    <mergeCell ref="C13:G13"/>
  </mergeCells>
  <hyperlinks>
    <hyperlink ref="B29" r:id="rId1" xr:uid="{21F8C22E-748F-4B1E-83B8-1C2BA2E27820}"/>
  </hyperlinks>
  <pageMargins left="0.7" right="0.7" top="0.75" bottom="0.75" header="0.3" footer="0.3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C2CAF-1B1B-49BA-9EB2-68666739A367}">
  <dimension ref="B1:I142"/>
  <sheetViews>
    <sheetView zoomScale="60" zoomScaleNormal="130" workbookViewId="0"/>
  </sheetViews>
  <sheetFormatPr defaultColWidth="8.88671875" defaultRowHeight="35.4" x14ac:dyDescent="0.6"/>
  <cols>
    <col min="1" max="1" width="8.88671875" style="149"/>
    <col min="2" max="2" width="125.109375" style="342" customWidth="1"/>
    <col min="3" max="7" width="39.88671875" style="165" customWidth="1"/>
    <col min="8" max="16384" width="8.88671875" style="149"/>
  </cols>
  <sheetData>
    <row r="1" spans="2:9" ht="36" thickBot="1" x14ac:dyDescent="0.65"/>
    <row r="2" spans="2:9" ht="71.400000000000006" customHeight="1" thickBot="1" x14ac:dyDescent="0.65">
      <c r="B2" s="634" t="s">
        <v>465</v>
      </c>
      <c r="C2" s="635"/>
      <c r="D2" s="635"/>
      <c r="E2" s="635"/>
      <c r="F2" s="635"/>
      <c r="G2" s="636"/>
    </row>
    <row r="3" spans="2:9" ht="36" thickBot="1" x14ac:dyDescent="0.65">
      <c r="B3" s="425"/>
      <c r="G3" s="426"/>
    </row>
    <row r="4" spans="2:9" ht="37.799999999999997" thickBot="1" x14ac:dyDescent="0.65">
      <c r="B4" s="349" t="s">
        <v>313</v>
      </c>
      <c r="C4" s="147" t="s">
        <v>460</v>
      </c>
      <c r="D4" s="147" t="s">
        <v>461</v>
      </c>
      <c r="E4" s="147" t="s">
        <v>462</v>
      </c>
      <c r="F4" s="147" t="s">
        <v>463</v>
      </c>
      <c r="G4" s="148" t="s">
        <v>464</v>
      </c>
    </row>
    <row r="5" spans="2:9" x14ac:dyDescent="0.6">
      <c r="B5" s="310"/>
      <c r="C5" s="306"/>
      <c r="D5" s="306"/>
      <c r="E5" s="306"/>
      <c r="F5" s="306"/>
      <c r="G5" s="307"/>
    </row>
    <row r="6" spans="2:9" x14ac:dyDescent="0.6">
      <c r="B6" s="310"/>
      <c r="C6" s="306"/>
      <c r="D6" s="306"/>
      <c r="E6" s="306"/>
      <c r="F6" s="306"/>
      <c r="G6" s="307"/>
      <c r="I6" s="183"/>
    </row>
    <row r="7" spans="2:9" ht="45.6" customHeight="1" x14ac:dyDescent="0.6">
      <c r="B7" s="350" t="s">
        <v>471</v>
      </c>
      <c r="C7" s="306"/>
      <c r="D7" s="306"/>
      <c r="E7" s="306"/>
      <c r="F7" s="306"/>
      <c r="G7" s="307"/>
    </row>
    <row r="8" spans="2:9" x14ac:dyDescent="0.6">
      <c r="B8" s="343"/>
      <c r="C8" s="306"/>
      <c r="D8" s="306"/>
      <c r="E8" s="306"/>
      <c r="F8" s="306"/>
      <c r="G8" s="307"/>
    </row>
    <row r="9" spans="2:9" x14ac:dyDescent="0.6">
      <c r="B9" s="351" t="s">
        <v>377</v>
      </c>
      <c r="C9" s="341"/>
      <c r="D9" s="341"/>
      <c r="E9" s="341"/>
      <c r="F9" s="341"/>
      <c r="G9" s="427"/>
    </row>
    <row r="10" spans="2:9" x14ac:dyDescent="0.6">
      <c r="B10" s="343"/>
      <c r="C10" s="341"/>
      <c r="D10" s="341"/>
      <c r="E10" s="341"/>
      <c r="F10" s="341"/>
      <c r="G10" s="427"/>
    </row>
    <row r="11" spans="2:9" x14ac:dyDescent="0.6">
      <c r="B11" s="343" t="s">
        <v>472</v>
      </c>
      <c r="C11" s="341"/>
      <c r="D11" s="341"/>
      <c r="E11" s="341"/>
      <c r="F11" s="341"/>
      <c r="G11" s="427"/>
    </row>
    <row r="12" spans="2:9" ht="41.4" customHeight="1" x14ac:dyDescent="0.6">
      <c r="B12" s="341" t="s">
        <v>473</v>
      </c>
      <c r="C12" s="341">
        <f>'3 STATEMENT '!S7</f>
        <v>750000</v>
      </c>
      <c r="D12" s="341">
        <f>'3 STATEMENT '!T7</f>
        <v>750000</v>
      </c>
      <c r="E12" s="341">
        <f>'3 STATEMENT '!U7</f>
        <v>750000</v>
      </c>
      <c r="F12" s="341">
        <f>'3 STATEMENT '!V7</f>
        <v>750000</v>
      </c>
      <c r="G12" s="427">
        <f>'3 STATEMENT '!W7</f>
        <v>750000</v>
      </c>
    </row>
    <row r="13" spans="2:9" ht="41.4" customHeight="1" x14ac:dyDescent="0.6">
      <c r="B13" s="343"/>
      <c r="C13" s="341"/>
      <c r="D13" s="341"/>
      <c r="E13" s="341"/>
      <c r="F13" s="341"/>
      <c r="G13" s="427"/>
    </row>
    <row r="14" spans="2:9" x14ac:dyDescent="0.6">
      <c r="B14" s="343" t="s">
        <v>478</v>
      </c>
      <c r="C14" s="341"/>
      <c r="D14" s="341"/>
      <c r="E14" s="341"/>
      <c r="F14" s="341"/>
      <c r="G14" s="427"/>
    </row>
    <row r="15" spans="2:9" x14ac:dyDescent="0.6">
      <c r="B15" s="341" t="s">
        <v>474</v>
      </c>
      <c r="C15" s="341">
        <f>'3 STATEMENT '!S9</f>
        <v>-77447.5</v>
      </c>
      <c r="D15" s="341">
        <f>'3 STATEMENT '!T9</f>
        <v>130719.79999999999</v>
      </c>
      <c r="E15" s="341">
        <f>'3 STATEMENT '!U9</f>
        <v>871970.50000000023</v>
      </c>
      <c r="F15" s="341">
        <f>'3 STATEMENT '!V9</f>
        <v>1649085.1633333324</v>
      </c>
      <c r="G15" s="427">
        <f>'3 STATEMENT '!W9</f>
        <v>2889748.581249997</v>
      </c>
    </row>
    <row r="16" spans="2:9" x14ac:dyDescent="0.6">
      <c r="B16" s="341" t="s">
        <v>475</v>
      </c>
      <c r="C16" s="341">
        <v>12500</v>
      </c>
      <c r="D16" s="341">
        <v>12500</v>
      </c>
      <c r="E16" s="341">
        <v>12500</v>
      </c>
      <c r="F16" s="341">
        <v>12500</v>
      </c>
      <c r="G16" s="427">
        <v>12500</v>
      </c>
    </row>
    <row r="17" spans="2:7" x14ac:dyDescent="0.6">
      <c r="B17" s="343"/>
      <c r="C17" s="341"/>
      <c r="D17" s="341"/>
      <c r="E17" s="341"/>
      <c r="F17" s="341"/>
      <c r="G17" s="427"/>
    </row>
    <row r="18" spans="2:7" x14ac:dyDescent="0.6">
      <c r="B18" s="343"/>
      <c r="C18" s="341">
        <f>SUM(C15:C16)+C12</f>
        <v>685052.5</v>
      </c>
      <c r="D18" s="341">
        <f t="shared" ref="D18:G18" si="0">SUM(D15:D16)+D12</f>
        <v>893219.8</v>
      </c>
      <c r="E18" s="341">
        <f t="shared" si="0"/>
        <v>1634470.5000000002</v>
      </c>
      <c r="F18" s="341">
        <f t="shared" si="0"/>
        <v>2411585.1633333322</v>
      </c>
      <c r="G18" s="427">
        <f t="shared" si="0"/>
        <v>3652248.581249997</v>
      </c>
    </row>
    <row r="19" spans="2:7" x14ac:dyDescent="0.6">
      <c r="B19" s="351" t="s">
        <v>482</v>
      </c>
      <c r="C19" s="341"/>
      <c r="D19" s="341"/>
      <c r="E19" s="341"/>
      <c r="F19" s="341"/>
      <c r="G19" s="427"/>
    </row>
    <row r="20" spans="2:7" x14ac:dyDescent="0.6">
      <c r="B20" s="343" t="s">
        <v>378</v>
      </c>
      <c r="C20" s="341">
        <v>500000</v>
      </c>
      <c r="D20" s="341">
        <v>500000</v>
      </c>
      <c r="E20" s="341"/>
      <c r="F20" s="341"/>
      <c r="G20" s="427"/>
    </row>
    <row r="21" spans="2:7" x14ac:dyDescent="0.6">
      <c r="B21" s="343"/>
      <c r="C21" s="341"/>
      <c r="D21" s="341"/>
      <c r="E21" s="341"/>
      <c r="F21" s="341"/>
      <c r="G21" s="427"/>
    </row>
    <row r="22" spans="2:7" x14ac:dyDescent="0.6">
      <c r="B22" s="351" t="s">
        <v>483</v>
      </c>
      <c r="C22" s="341"/>
      <c r="D22" s="341"/>
      <c r="E22" s="341"/>
      <c r="F22" s="341"/>
      <c r="G22" s="427"/>
    </row>
    <row r="23" spans="2:7" x14ac:dyDescent="0.6">
      <c r="B23" s="343" t="s">
        <v>480</v>
      </c>
      <c r="C23" s="341">
        <f>0</f>
        <v>0</v>
      </c>
      <c r="D23" s="341">
        <f>'3 STATEMENT '!T10</f>
        <v>94401.45</v>
      </c>
      <c r="E23" s="341">
        <f>0</f>
        <v>0</v>
      </c>
      <c r="F23" s="341">
        <f>0</f>
        <v>0</v>
      </c>
      <c r="G23" s="427">
        <f>0</f>
        <v>0</v>
      </c>
    </row>
    <row r="24" spans="2:7" x14ac:dyDescent="0.6">
      <c r="B24" s="343"/>
      <c r="C24" s="341"/>
      <c r="D24" s="341"/>
      <c r="E24" s="341"/>
      <c r="F24" s="341"/>
      <c r="G24" s="427"/>
    </row>
    <row r="25" spans="2:7" ht="37.799999999999997" hidden="1" customHeight="1" x14ac:dyDescent="0.6">
      <c r="B25" s="343"/>
      <c r="C25" s="341">
        <f>C23+C20</f>
        <v>500000</v>
      </c>
      <c r="D25" s="341">
        <f t="shared" ref="D25:G25" si="1">D23+D20</f>
        <v>594401.44999999995</v>
      </c>
      <c r="E25" s="341">
        <f t="shared" si="1"/>
        <v>0</v>
      </c>
      <c r="F25" s="341">
        <f t="shared" si="1"/>
        <v>0</v>
      </c>
      <c r="G25" s="427">
        <f t="shared" si="1"/>
        <v>0</v>
      </c>
    </row>
    <row r="26" spans="2:7" x14ac:dyDescent="0.6">
      <c r="B26" s="352" t="s">
        <v>379</v>
      </c>
      <c r="C26" s="353">
        <f>C12+C15+C20+C16</f>
        <v>1185052.5</v>
      </c>
      <c r="D26" s="353">
        <f>D12+D15+D20+D16+D23</f>
        <v>1487621.25</v>
      </c>
      <c r="E26" s="353">
        <f t="shared" ref="E26:G26" si="2">E12+E15+E20+E16</f>
        <v>1634470.5000000002</v>
      </c>
      <c r="F26" s="353">
        <f t="shared" si="2"/>
        <v>2411585.1633333322</v>
      </c>
      <c r="G26" s="428">
        <f t="shared" si="2"/>
        <v>3652248.581249997</v>
      </c>
    </row>
    <row r="27" spans="2:7" x14ac:dyDescent="0.6">
      <c r="B27" s="343"/>
      <c r="C27" s="341"/>
      <c r="D27" s="341"/>
      <c r="E27" s="341"/>
      <c r="F27" s="341"/>
      <c r="G27" s="427"/>
    </row>
    <row r="28" spans="2:7" x14ac:dyDescent="0.6">
      <c r="B28" s="350" t="s">
        <v>481</v>
      </c>
      <c r="C28" s="341"/>
      <c r="D28" s="341"/>
      <c r="E28" s="341"/>
      <c r="F28" s="341"/>
      <c r="G28" s="427"/>
    </row>
    <row r="29" spans="2:7" x14ac:dyDescent="0.6">
      <c r="B29" s="343"/>
      <c r="C29" s="341"/>
      <c r="D29" s="341"/>
      <c r="E29" s="341"/>
      <c r="F29" s="341"/>
      <c r="G29" s="427"/>
    </row>
    <row r="30" spans="2:7" x14ac:dyDescent="0.6">
      <c r="B30" s="351" t="s">
        <v>484</v>
      </c>
      <c r="C30" s="341"/>
      <c r="D30" s="341"/>
      <c r="E30" s="341"/>
      <c r="F30" s="341"/>
      <c r="G30" s="427"/>
    </row>
    <row r="31" spans="2:7" x14ac:dyDescent="0.6">
      <c r="B31" s="343"/>
      <c r="C31" s="341"/>
      <c r="D31" s="341"/>
      <c r="E31" s="341"/>
      <c r="F31" s="341"/>
      <c r="G31" s="427"/>
    </row>
    <row r="32" spans="2:7" x14ac:dyDescent="0.6">
      <c r="B32" s="343" t="s">
        <v>479</v>
      </c>
      <c r="C32" s="341"/>
      <c r="D32" s="341"/>
      <c r="E32" s="341"/>
      <c r="F32" s="341"/>
      <c r="G32" s="427"/>
    </row>
    <row r="33" spans="2:7" x14ac:dyDescent="0.6">
      <c r="B33" s="343"/>
      <c r="C33" s="341"/>
      <c r="D33" s="341"/>
      <c r="E33" s="341"/>
      <c r="F33" s="341"/>
      <c r="G33" s="427"/>
    </row>
    <row r="34" spans="2:7" x14ac:dyDescent="0.6">
      <c r="B34" s="343" t="s">
        <v>476</v>
      </c>
      <c r="C34" s="341"/>
      <c r="D34" s="341"/>
      <c r="E34" s="341"/>
      <c r="F34" s="341"/>
      <c r="G34" s="427"/>
    </row>
    <row r="35" spans="2:7" x14ac:dyDescent="0.6">
      <c r="B35" s="341" t="s">
        <v>477</v>
      </c>
      <c r="C35" s="341">
        <v>12500</v>
      </c>
      <c r="D35" s="341">
        <v>12500</v>
      </c>
      <c r="E35" s="341">
        <v>12500</v>
      </c>
      <c r="F35" s="341">
        <v>12500</v>
      </c>
      <c r="G35" s="427">
        <v>12500</v>
      </c>
    </row>
    <row r="36" spans="2:7" x14ac:dyDescent="0.6">
      <c r="B36" s="343"/>
      <c r="C36" s="341">
        <f>C35</f>
        <v>12500</v>
      </c>
      <c r="D36" s="341">
        <f t="shared" ref="D36:G36" si="3">D35</f>
        <v>12500</v>
      </c>
      <c r="E36" s="341">
        <f t="shared" si="3"/>
        <v>12500</v>
      </c>
      <c r="F36" s="341">
        <f t="shared" si="3"/>
        <v>12500</v>
      </c>
      <c r="G36" s="427">
        <f t="shared" si="3"/>
        <v>12500</v>
      </c>
    </row>
    <row r="37" spans="2:7" x14ac:dyDescent="0.6">
      <c r="B37" s="351" t="s">
        <v>485</v>
      </c>
      <c r="C37" s="341"/>
      <c r="D37" s="341"/>
      <c r="E37" s="341"/>
      <c r="F37" s="341"/>
      <c r="G37" s="427"/>
    </row>
    <row r="38" spans="2:7" x14ac:dyDescent="0.6">
      <c r="B38" s="343" t="s">
        <v>486</v>
      </c>
      <c r="C38" s="341">
        <v>899177.5</v>
      </c>
      <c r="D38" s="341">
        <v>699078.54999999981</v>
      </c>
      <c r="E38" s="341">
        <v>598042.17499999981</v>
      </c>
      <c r="F38" s="341">
        <v>812796.27499999851</v>
      </c>
      <c r="G38" s="427">
        <v>1613120.7612499967</v>
      </c>
    </row>
    <row r="39" spans="2:7" x14ac:dyDescent="0.6">
      <c r="B39" s="343" t="s">
        <v>487</v>
      </c>
      <c r="C39" s="341">
        <v>273375</v>
      </c>
      <c r="D39" s="341">
        <v>681641.25</v>
      </c>
      <c r="E39" s="341">
        <v>1023928.325</v>
      </c>
      <c r="F39" s="341">
        <v>1586288.8883333332</v>
      </c>
      <c r="G39" s="427">
        <v>2026627.8199999998</v>
      </c>
    </row>
    <row r="40" spans="2:7" x14ac:dyDescent="0.6">
      <c r="B40" s="343" t="s">
        <v>488</v>
      </c>
      <c r="C40" s="341"/>
      <c r="D40" s="341">
        <v>94401.45</v>
      </c>
      <c r="E40" s="341"/>
      <c r="F40" s="341"/>
      <c r="G40" s="427"/>
    </row>
    <row r="41" spans="2:7" x14ac:dyDescent="0.6">
      <c r="B41" s="343"/>
      <c r="C41" s="341">
        <f>SUM(C38:C40)</f>
        <v>1172552.5</v>
      </c>
      <c r="D41" s="341">
        <f t="shared" ref="D41:G41" si="4">SUM(D38:D40)</f>
        <v>1475121.2499999998</v>
      </c>
      <c r="E41" s="341">
        <f t="shared" si="4"/>
        <v>1621970.4999999998</v>
      </c>
      <c r="F41" s="341">
        <f t="shared" si="4"/>
        <v>2399085.1633333317</v>
      </c>
      <c r="G41" s="427">
        <f t="shared" si="4"/>
        <v>3639748.5812499966</v>
      </c>
    </row>
    <row r="42" spans="2:7" x14ac:dyDescent="0.6">
      <c r="B42" s="343"/>
      <c r="C42" s="341"/>
      <c r="D42" s="341"/>
      <c r="E42" s="341"/>
      <c r="F42" s="341"/>
      <c r="G42" s="427"/>
    </row>
    <row r="43" spans="2:7" x14ac:dyDescent="0.6">
      <c r="B43" s="352" t="s">
        <v>379</v>
      </c>
      <c r="C43" s="352">
        <f>C41+C36</f>
        <v>1185052.5</v>
      </c>
      <c r="D43" s="352">
        <f t="shared" ref="D43:G43" si="5">D41+D36</f>
        <v>1487621.2499999998</v>
      </c>
      <c r="E43" s="352">
        <f t="shared" si="5"/>
        <v>1634470.4999999998</v>
      </c>
      <c r="F43" s="352">
        <f t="shared" si="5"/>
        <v>2411585.1633333317</v>
      </c>
      <c r="G43" s="429">
        <f t="shared" si="5"/>
        <v>3652248.5812499966</v>
      </c>
    </row>
    <row r="44" spans="2:7" x14ac:dyDescent="0.6">
      <c r="B44" s="343"/>
      <c r="C44" s="341"/>
      <c r="D44" s="341"/>
      <c r="E44" s="341"/>
      <c r="F44" s="341"/>
      <c r="G44" s="427"/>
    </row>
    <row r="45" spans="2:7" ht="36" thickBot="1" x14ac:dyDescent="0.65">
      <c r="B45" s="430"/>
      <c r="C45" s="431"/>
      <c r="D45" s="431"/>
      <c r="E45" s="431"/>
      <c r="F45" s="431"/>
      <c r="G45" s="432"/>
    </row>
    <row r="46" spans="2:7" s="150" customFormat="1" ht="36.6" x14ac:dyDescent="0.7">
      <c r="B46" s="344"/>
      <c r="C46" s="151"/>
      <c r="D46" s="151"/>
      <c r="E46" s="151"/>
      <c r="F46" s="151"/>
      <c r="G46" s="151"/>
    </row>
    <row r="47" spans="2:7" s="150" customFormat="1" ht="36.6" x14ac:dyDescent="0.7">
      <c r="B47" s="344"/>
      <c r="C47" s="151"/>
      <c r="D47" s="151"/>
      <c r="E47" s="151"/>
      <c r="F47" s="151"/>
      <c r="G47" s="151"/>
    </row>
    <row r="48" spans="2:7" s="150" customFormat="1" ht="36.6" x14ac:dyDescent="0.7">
      <c r="B48" s="344"/>
      <c r="C48" s="151"/>
      <c r="D48" s="151"/>
      <c r="E48" s="151"/>
      <c r="F48" s="151"/>
      <c r="G48" s="151"/>
    </row>
    <row r="49" spans="2:7" s="150" customFormat="1" ht="36.6" x14ac:dyDescent="0.7">
      <c r="B49" s="344"/>
      <c r="C49" s="151"/>
      <c r="D49" s="151"/>
      <c r="E49" s="151"/>
      <c r="F49" s="151"/>
      <c r="G49" s="151"/>
    </row>
    <row r="50" spans="2:7" s="150" customFormat="1" ht="36.6" x14ac:dyDescent="0.7">
      <c r="B50" s="344"/>
      <c r="C50" s="151"/>
      <c r="D50" s="151"/>
      <c r="E50" s="151"/>
      <c r="F50" s="151"/>
      <c r="G50" s="151"/>
    </row>
    <row r="51" spans="2:7" s="150" customFormat="1" ht="36.6" x14ac:dyDescent="0.7">
      <c r="B51" s="344"/>
      <c r="C51" s="151"/>
      <c r="D51" s="151"/>
      <c r="E51" s="151"/>
      <c r="F51" s="151"/>
      <c r="G51" s="151"/>
    </row>
    <row r="52" spans="2:7" s="150" customFormat="1" ht="36.6" x14ac:dyDescent="0.7">
      <c r="B52" s="344"/>
      <c r="C52" s="151"/>
      <c r="D52" s="151"/>
      <c r="E52" s="151"/>
      <c r="F52" s="151"/>
      <c r="G52" s="151"/>
    </row>
    <row r="53" spans="2:7" s="150" customFormat="1" ht="36.6" x14ac:dyDescent="0.7">
      <c r="B53" s="344"/>
      <c r="C53" s="151"/>
      <c r="D53" s="151"/>
      <c r="E53" s="151"/>
      <c r="F53" s="151"/>
      <c r="G53" s="151"/>
    </row>
    <row r="54" spans="2:7" s="150" customFormat="1" ht="36.6" x14ac:dyDescent="0.7">
      <c r="B54" s="344"/>
      <c r="C54" s="151"/>
      <c r="D54" s="151"/>
      <c r="E54" s="151"/>
      <c r="F54" s="151"/>
      <c r="G54" s="151"/>
    </row>
    <row r="55" spans="2:7" s="150" customFormat="1" ht="36.6" x14ac:dyDescent="0.7">
      <c r="B55" s="344"/>
      <c r="C55" s="151"/>
      <c r="D55" s="151"/>
      <c r="E55" s="151"/>
      <c r="F55" s="151"/>
      <c r="G55" s="151"/>
    </row>
    <row r="56" spans="2:7" s="150" customFormat="1" ht="36.6" x14ac:dyDescent="0.7">
      <c r="B56" s="344"/>
      <c r="C56" s="151"/>
      <c r="D56" s="151"/>
      <c r="E56" s="151"/>
      <c r="F56" s="151"/>
      <c r="G56" s="151"/>
    </row>
    <row r="57" spans="2:7" s="150" customFormat="1" ht="36.6" x14ac:dyDescent="0.7">
      <c r="B57" s="344"/>
      <c r="C57" s="151"/>
      <c r="D57" s="151"/>
      <c r="E57" s="151"/>
      <c r="F57" s="151"/>
      <c r="G57" s="151"/>
    </row>
    <row r="58" spans="2:7" s="150" customFormat="1" ht="36.6" x14ac:dyDescent="0.7">
      <c r="B58" s="344"/>
      <c r="C58" s="151"/>
      <c r="D58" s="151"/>
      <c r="E58" s="151"/>
      <c r="F58" s="151"/>
      <c r="G58" s="151"/>
    </row>
    <row r="59" spans="2:7" s="150" customFormat="1" ht="36.6" x14ac:dyDescent="0.7">
      <c r="B59" s="344"/>
      <c r="C59" s="151"/>
      <c r="D59" s="151"/>
      <c r="E59" s="151"/>
      <c r="F59" s="151"/>
      <c r="G59" s="151"/>
    </row>
    <row r="60" spans="2:7" s="150" customFormat="1" ht="36.6" x14ac:dyDescent="0.7">
      <c r="B60" s="344"/>
      <c r="C60" s="151"/>
      <c r="D60" s="151"/>
      <c r="E60" s="151"/>
      <c r="F60" s="151"/>
      <c r="G60" s="151"/>
    </row>
    <row r="61" spans="2:7" s="150" customFormat="1" ht="36.6" x14ac:dyDescent="0.7">
      <c r="B61" s="344"/>
      <c r="C61" s="151"/>
      <c r="D61" s="151"/>
      <c r="E61" s="151"/>
      <c r="F61" s="151"/>
      <c r="G61" s="151"/>
    </row>
    <row r="62" spans="2:7" s="150" customFormat="1" ht="36.6" x14ac:dyDescent="0.7">
      <c r="B62" s="344"/>
      <c r="C62" s="151"/>
      <c r="D62" s="151"/>
      <c r="E62" s="151"/>
      <c r="F62" s="151"/>
      <c r="G62" s="151"/>
    </row>
    <row r="63" spans="2:7" s="150" customFormat="1" ht="36.6" x14ac:dyDescent="0.7">
      <c r="B63" s="344"/>
      <c r="C63" s="151"/>
      <c r="D63" s="151"/>
      <c r="E63" s="151"/>
      <c r="F63" s="151"/>
      <c r="G63" s="151"/>
    </row>
    <row r="64" spans="2:7" s="150" customFormat="1" ht="36.6" x14ac:dyDescent="0.7">
      <c r="B64" s="344"/>
      <c r="C64" s="151"/>
      <c r="D64" s="151"/>
      <c r="E64" s="151"/>
      <c r="F64" s="151"/>
      <c r="G64" s="151"/>
    </row>
    <row r="65" spans="2:7" s="150" customFormat="1" ht="36.6" x14ac:dyDescent="0.7">
      <c r="B65" s="344"/>
      <c r="C65" s="151"/>
      <c r="D65" s="151"/>
      <c r="E65" s="151"/>
      <c r="F65" s="151"/>
      <c r="G65" s="151"/>
    </row>
    <row r="66" spans="2:7" s="150" customFormat="1" ht="36.6" x14ac:dyDescent="0.7">
      <c r="B66" s="344"/>
      <c r="C66" s="151"/>
      <c r="D66" s="151"/>
      <c r="E66" s="151"/>
      <c r="F66" s="151"/>
      <c r="G66" s="151"/>
    </row>
    <row r="67" spans="2:7" s="150" customFormat="1" ht="36.6" x14ac:dyDescent="0.7">
      <c r="B67" s="344"/>
      <c r="C67" s="151"/>
      <c r="D67" s="151"/>
      <c r="E67" s="151"/>
      <c r="F67" s="151"/>
      <c r="G67" s="151"/>
    </row>
    <row r="68" spans="2:7" s="150" customFormat="1" ht="36.6" x14ac:dyDescent="0.7">
      <c r="B68" s="344"/>
      <c r="C68" s="151"/>
      <c r="D68" s="151"/>
      <c r="E68" s="151"/>
      <c r="F68" s="151"/>
      <c r="G68" s="151"/>
    </row>
    <row r="69" spans="2:7" s="150" customFormat="1" ht="36.6" x14ac:dyDescent="0.7">
      <c r="B69" s="344"/>
      <c r="C69" s="151"/>
      <c r="D69" s="151"/>
      <c r="E69" s="151"/>
      <c r="F69" s="151"/>
      <c r="G69" s="151"/>
    </row>
    <row r="70" spans="2:7" s="150" customFormat="1" ht="36.6" x14ac:dyDescent="0.7">
      <c r="B70" s="344"/>
      <c r="C70" s="151"/>
      <c r="D70" s="151"/>
      <c r="E70" s="151"/>
      <c r="F70" s="151"/>
      <c r="G70" s="151"/>
    </row>
    <row r="71" spans="2:7" s="150" customFormat="1" ht="36.6" x14ac:dyDescent="0.7">
      <c r="B71" s="344"/>
      <c r="C71" s="151"/>
      <c r="D71" s="151"/>
      <c r="E71" s="151"/>
      <c r="F71" s="151"/>
      <c r="G71" s="151"/>
    </row>
    <row r="72" spans="2:7" s="150" customFormat="1" ht="36.6" x14ac:dyDescent="0.7">
      <c r="B72" s="344"/>
      <c r="C72" s="151"/>
      <c r="D72" s="151"/>
      <c r="E72" s="151"/>
      <c r="F72" s="151"/>
      <c r="G72" s="151"/>
    </row>
    <row r="73" spans="2:7" s="150" customFormat="1" ht="36.6" x14ac:dyDescent="0.7">
      <c r="B73" s="344"/>
      <c r="C73" s="151"/>
      <c r="D73" s="151"/>
      <c r="E73" s="151"/>
      <c r="F73" s="151"/>
      <c r="G73" s="151"/>
    </row>
    <row r="74" spans="2:7" s="150" customFormat="1" ht="36.6" x14ac:dyDescent="0.7">
      <c r="B74" s="344"/>
      <c r="C74" s="151"/>
      <c r="D74" s="151"/>
      <c r="E74" s="151"/>
      <c r="F74" s="151"/>
      <c r="G74" s="151"/>
    </row>
    <row r="75" spans="2:7" s="150" customFormat="1" ht="36.6" x14ac:dyDescent="0.7">
      <c r="B75" s="344"/>
      <c r="C75" s="151"/>
      <c r="D75" s="151"/>
      <c r="E75" s="151"/>
      <c r="F75" s="151"/>
      <c r="G75" s="151"/>
    </row>
    <row r="76" spans="2:7" s="150" customFormat="1" ht="36.6" x14ac:dyDescent="0.7">
      <c r="B76" s="344"/>
      <c r="C76" s="151"/>
      <c r="D76" s="151"/>
      <c r="E76" s="151"/>
      <c r="F76" s="151"/>
      <c r="G76" s="151"/>
    </row>
    <row r="77" spans="2:7" s="150" customFormat="1" ht="36.6" x14ac:dyDescent="0.7">
      <c r="B77" s="344"/>
      <c r="C77" s="151"/>
      <c r="D77" s="151"/>
      <c r="E77" s="151"/>
      <c r="F77" s="151"/>
      <c r="G77" s="151"/>
    </row>
    <row r="78" spans="2:7" s="150" customFormat="1" ht="36.6" x14ac:dyDescent="0.7">
      <c r="B78" s="344"/>
      <c r="C78" s="151"/>
      <c r="D78" s="151"/>
      <c r="E78" s="151"/>
      <c r="F78" s="151"/>
      <c r="G78" s="151"/>
    </row>
    <row r="79" spans="2:7" s="150" customFormat="1" ht="36.6" x14ac:dyDescent="0.7">
      <c r="B79" s="344"/>
      <c r="C79" s="151"/>
      <c r="D79" s="151"/>
      <c r="E79" s="151"/>
      <c r="F79" s="151"/>
      <c r="G79" s="151"/>
    </row>
    <row r="80" spans="2:7" s="150" customFormat="1" ht="36.6" x14ac:dyDescent="0.7">
      <c r="B80" s="344"/>
      <c r="C80" s="151"/>
      <c r="D80" s="151"/>
      <c r="E80" s="151"/>
      <c r="F80" s="151"/>
      <c r="G80" s="151"/>
    </row>
    <row r="81" spans="2:7" s="150" customFormat="1" ht="36.6" x14ac:dyDescent="0.7">
      <c r="B81" s="344"/>
      <c r="C81" s="151"/>
      <c r="D81" s="151"/>
      <c r="E81" s="151"/>
      <c r="F81" s="151"/>
      <c r="G81" s="151"/>
    </row>
    <row r="82" spans="2:7" s="150" customFormat="1" ht="36.6" x14ac:dyDescent="0.7">
      <c r="B82" s="344"/>
      <c r="C82" s="151"/>
      <c r="D82" s="151"/>
      <c r="E82" s="151"/>
      <c r="F82" s="151"/>
      <c r="G82" s="151"/>
    </row>
    <row r="83" spans="2:7" s="150" customFormat="1" ht="36.6" x14ac:dyDescent="0.7">
      <c r="B83" s="344"/>
      <c r="C83" s="151"/>
      <c r="D83" s="151"/>
      <c r="E83" s="151"/>
      <c r="F83" s="151"/>
      <c r="G83" s="151"/>
    </row>
    <row r="84" spans="2:7" x14ac:dyDescent="0.6">
      <c r="B84" s="345"/>
      <c r="C84" s="152"/>
      <c r="D84" s="152"/>
      <c r="E84" s="153"/>
      <c r="F84" s="154"/>
      <c r="G84" s="155"/>
    </row>
    <row r="85" spans="2:7" x14ac:dyDescent="0.6">
      <c r="B85" s="158"/>
      <c r="C85" s="152"/>
      <c r="D85" s="152"/>
      <c r="E85" s="153"/>
      <c r="F85" s="154"/>
      <c r="G85" s="155"/>
    </row>
    <row r="86" spans="2:7" x14ac:dyDescent="0.6">
      <c r="B86" s="346"/>
      <c r="C86" s="152"/>
      <c r="D86" s="152"/>
      <c r="E86" s="153"/>
      <c r="F86" s="154"/>
      <c r="G86" s="155"/>
    </row>
    <row r="87" spans="2:7" x14ac:dyDescent="0.6">
      <c r="B87" s="158"/>
      <c r="C87" s="152"/>
      <c r="D87" s="152"/>
      <c r="E87" s="153"/>
      <c r="F87" s="154"/>
      <c r="G87" s="155"/>
    </row>
    <row r="88" spans="2:7" x14ac:dyDescent="0.6">
      <c r="B88" s="158"/>
      <c r="C88" s="152"/>
      <c r="D88" s="152"/>
      <c r="E88" s="153"/>
      <c r="F88" s="154"/>
      <c r="G88" s="155"/>
    </row>
    <row r="89" spans="2:7" x14ac:dyDescent="0.6">
      <c r="B89" s="345"/>
      <c r="C89" s="152"/>
      <c r="D89" s="152"/>
      <c r="E89" s="153"/>
      <c r="F89" s="154"/>
      <c r="G89" s="155"/>
    </row>
    <row r="90" spans="2:7" x14ac:dyDescent="0.6">
      <c r="B90" s="345"/>
      <c r="C90" s="152"/>
      <c r="D90" s="152"/>
      <c r="E90" s="153"/>
      <c r="F90" s="154"/>
      <c r="G90" s="155"/>
    </row>
    <row r="91" spans="2:7" x14ac:dyDescent="0.6">
      <c r="B91" s="345"/>
      <c r="C91" s="152"/>
      <c r="D91" s="152"/>
      <c r="E91" s="153"/>
      <c r="F91" s="154"/>
      <c r="G91" s="155"/>
    </row>
    <row r="92" spans="2:7" x14ac:dyDescent="0.6">
      <c r="B92" s="345"/>
      <c r="C92" s="152"/>
      <c r="D92" s="152"/>
      <c r="E92" s="153"/>
      <c r="F92" s="154"/>
      <c r="G92" s="155"/>
    </row>
    <row r="93" spans="2:7" x14ac:dyDescent="0.6">
      <c r="B93" s="158"/>
      <c r="C93" s="152"/>
      <c r="D93" s="152"/>
      <c r="E93" s="153"/>
      <c r="F93" s="154"/>
      <c r="G93" s="155"/>
    </row>
    <row r="94" spans="2:7" x14ac:dyDescent="0.6">
      <c r="B94" s="158"/>
      <c r="C94" s="152"/>
      <c r="D94" s="152"/>
      <c r="E94" s="153"/>
      <c r="F94" s="154"/>
      <c r="G94" s="155"/>
    </row>
    <row r="95" spans="2:7" x14ac:dyDescent="0.6">
      <c r="B95" s="345"/>
      <c r="C95" s="152"/>
      <c r="D95" s="152"/>
      <c r="E95" s="153"/>
      <c r="F95" s="154"/>
      <c r="G95" s="155"/>
    </row>
    <row r="96" spans="2:7" x14ac:dyDescent="0.6">
      <c r="B96" s="345"/>
      <c r="C96" s="152"/>
      <c r="D96" s="152"/>
      <c r="E96" s="153"/>
      <c r="F96" s="154"/>
      <c r="G96" s="155"/>
    </row>
    <row r="97" spans="2:7" x14ac:dyDescent="0.6">
      <c r="B97" s="345"/>
      <c r="C97" s="152"/>
      <c r="D97" s="152"/>
      <c r="E97" s="153"/>
      <c r="F97" s="154"/>
      <c r="G97" s="155"/>
    </row>
    <row r="98" spans="2:7" x14ac:dyDescent="0.6">
      <c r="B98" s="347"/>
      <c r="C98" s="152"/>
      <c r="D98" s="152"/>
      <c r="E98" s="153"/>
      <c r="F98" s="154"/>
      <c r="G98" s="155"/>
    </row>
    <row r="99" spans="2:7" x14ac:dyDescent="0.6">
      <c r="B99" s="158"/>
      <c r="C99" s="152"/>
      <c r="D99" s="152"/>
      <c r="E99" s="153"/>
      <c r="F99" s="154"/>
      <c r="G99" s="155"/>
    </row>
    <row r="100" spans="2:7" x14ac:dyDescent="0.6">
      <c r="B100" s="158"/>
      <c r="C100" s="152"/>
      <c r="D100" s="152"/>
      <c r="E100" s="152"/>
      <c r="F100" s="152"/>
      <c r="G100" s="152"/>
    </row>
    <row r="101" spans="2:7" x14ac:dyDescent="0.6">
      <c r="B101" s="345"/>
      <c r="C101" s="152"/>
      <c r="D101" s="152"/>
      <c r="E101" s="152"/>
      <c r="F101" s="152"/>
      <c r="G101" s="152"/>
    </row>
    <row r="102" spans="2:7" x14ac:dyDescent="0.6">
      <c r="B102" s="345"/>
      <c r="C102" s="152"/>
      <c r="D102" s="152"/>
      <c r="E102" s="152"/>
      <c r="F102" s="152"/>
      <c r="G102" s="152"/>
    </row>
    <row r="103" spans="2:7" x14ac:dyDescent="0.6">
      <c r="B103" s="348"/>
      <c r="C103" s="156"/>
      <c r="D103" s="156"/>
      <c r="E103" s="156"/>
      <c r="F103" s="156"/>
      <c r="G103" s="156"/>
    </row>
    <row r="104" spans="2:7" x14ac:dyDescent="0.6">
      <c r="B104" s="345"/>
      <c r="C104" s="152"/>
      <c r="D104" s="152"/>
      <c r="E104" s="153"/>
      <c r="F104" s="154"/>
      <c r="G104" s="155"/>
    </row>
    <row r="105" spans="2:7" x14ac:dyDescent="0.6">
      <c r="C105" s="152"/>
      <c r="D105" s="152"/>
      <c r="E105" s="152"/>
      <c r="F105" s="152"/>
      <c r="G105" s="152"/>
    </row>
    <row r="106" spans="2:7" x14ac:dyDescent="0.6">
      <c r="B106" s="157"/>
      <c r="C106" s="152"/>
      <c r="D106" s="152"/>
      <c r="E106" s="152"/>
      <c r="F106" s="152"/>
      <c r="G106" s="152"/>
    </row>
    <row r="107" spans="2:7" x14ac:dyDescent="0.6">
      <c r="B107" s="158"/>
      <c r="C107" s="152"/>
      <c r="D107" s="152"/>
      <c r="E107" s="153"/>
      <c r="F107" s="154"/>
      <c r="G107" s="155"/>
    </row>
    <row r="108" spans="2:7" x14ac:dyDescent="0.6">
      <c r="B108" s="158"/>
      <c r="C108" s="152"/>
      <c r="D108" s="152"/>
      <c r="E108" s="153"/>
      <c r="F108" s="154"/>
      <c r="G108" s="155"/>
    </row>
    <row r="109" spans="2:7" x14ac:dyDescent="0.6">
      <c r="B109" s="158"/>
      <c r="C109" s="152"/>
      <c r="D109" s="152"/>
      <c r="E109" s="153"/>
      <c r="F109" s="154"/>
      <c r="G109" s="155"/>
    </row>
    <row r="110" spans="2:7" x14ac:dyDescent="0.6">
      <c r="B110" s="158"/>
      <c r="C110" s="152"/>
      <c r="D110" s="152"/>
      <c r="E110" s="153"/>
      <c r="F110" s="154"/>
      <c r="G110" s="155"/>
    </row>
    <row r="111" spans="2:7" x14ac:dyDescent="0.6">
      <c r="B111" s="158"/>
      <c r="C111" s="152"/>
      <c r="D111" s="152"/>
      <c r="E111" s="153"/>
      <c r="F111" s="154"/>
      <c r="G111" s="155"/>
    </row>
    <row r="112" spans="2:7" x14ac:dyDescent="0.6">
      <c r="B112" s="158"/>
      <c r="C112" s="152"/>
      <c r="D112" s="152"/>
      <c r="E112" s="153"/>
      <c r="F112" s="154"/>
      <c r="G112" s="155"/>
    </row>
    <row r="113" spans="2:7" x14ac:dyDescent="0.6">
      <c r="B113" s="345"/>
      <c r="C113" s="152"/>
      <c r="D113" s="152"/>
      <c r="E113" s="153"/>
      <c r="F113" s="154"/>
      <c r="G113" s="155"/>
    </row>
    <row r="114" spans="2:7" x14ac:dyDescent="0.6">
      <c r="B114" s="158"/>
      <c r="C114" s="152"/>
      <c r="D114" s="152"/>
      <c r="E114" s="153"/>
      <c r="F114" s="154"/>
      <c r="G114" s="155"/>
    </row>
    <row r="115" spans="2:7" x14ac:dyDescent="0.6">
      <c r="B115" s="159"/>
      <c r="C115" s="152"/>
      <c r="D115" s="152"/>
      <c r="E115" s="153"/>
      <c r="F115" s="154"/>
      <c r="G115" s="155"/>
    </row>
    <row r="116" spans="2:7" x14ac:dyDescent="0.6">
      <c r="B116" s="158"/>
      <c r="C116" s="152"/>
      <c r="D116" s="152"/>
      <c r="E116" s="153"/>
      <c r="F116" s="154"/>
      <c r="G116" s="155"/>
    </row>
    <row r="117" spans="2:7" x14ac:dyDescent="0.6">
      <c r="B117" s="158"/>
      <c r="C117" s="152"/>
      <c r="D117" s="152"/>
      <c r="E117" s="153"/>
      <c r="F117" s="154"/>
      <c r="G117" s="155"/>
    </row>
    <row r="118" spans="2:7" x14ac:dyDescent="0.6">
      <c r="B118" s="158"/>
      <c r="C118" s="152"/>
      <c r="D118" s="152"/>
      <c r="E118" s="153"/>
      <c r="F118" s="154"/>
      <c r="G118" s="155"/>
    </row>
    <row r="119" spans="2:7" x14ac:dyDescent="0.6">
      <c r="B119" s="158"/>
      <c r="C119" s="152"/>
      <c r="D119" s="152"/>
      <c r="E119" s="153"/>
      <c r="F119" s="154"/>
      <c r="G119" s="155"/>
    </row>
    <row r="120" spans="2:7" x14ac:dyDescent="0.6">
      <c r="B120" s="158"/>
      <c r="C120" s="152"/>
      <c r="D120" s="152"/>
      <c r="E120" s="153"/>
      <c r="F120" s="154"/>
      <c r="G120" s="155"/>
    </row>
    <row r="121" spans="2:7" x14ac:dyDescent="0.6">
      <c r="B121" s="345"/>
      <c r="C121" s="152"/>
      <c r="D121" s="152"/>
      <c r="E121" s="153"/>
      <c r="F121" s="154"/>
      <c r="G121" s="155"/>
    </row>
    <row r="122" spans="2:7" x14ac:dyDescent="0.6">
      <c r="B122" s="345"/>
      <c r="C122" s="152"/>
      <c r="D122" s="152"/>
      <c r="E122" s="153"/>
      <c r="F122" s="154"/>
      <c r="G122" s="155"/>
    </row>
    <row r="123" spans="2:7" x14ac:dyDescent="0.6">
      <c r="B123" s="345"/>
      <c r="C123" s="152"/>
      <c r="D123" s="152"/>
      <c r="E123" s="153"/>
      <c r="F123" s="154"/>
      <c r="G123" s="155"/>
    </row>
    <row r="124" spans="2:7" x14ac:dyDescent="0.6">
      <c r="B124" s="345"/>
      <c r="C124" s="152"/>
      <c r="D124" s="152"/>
      <c r="E124" s="153"/>
      <c r="F124" s="154"/>
      <c r="G124" s="155"/>
    </row>
    <row r="125" spans="2:7" x14ac:dyDescent="0.6">
      <c r="B125" s="160"/>
      <c r="C125" s="152"/>
      <c r="D125" s="152"/>
      <c r="E125" s="153"/>
      <c r="F125" s="154"/>
      <c r="G125" s="155"/>
    </row>
    <row r="126" spans="2:7" x14ac:dyDescent="0.6">
      <c r="B126" s="158"/>
      <c r="C126" s="152"/>
      <c r="D126" s="152"/>
      <c r="E126" s="153"/>
      <c r="F126" s="154"/>
      <c r="G126" s="155"/>
    </row>
    <row r="127" spans="2:7" x14ac:dyDescent="0.6">
      <c r="B127" s="158"/>
      <c r="C127" s="152"/>
      <c r="D127" s="152"/>
      <c r="E127" s="152"/>
      <c r="F127" s="152"/>
      <c r="G127" s="152"/>
    </row>
    <row r="128" spans="2:7" x14ac:dyDescent="0.6">
      <c r="B128" s="161"/>
      <c r="C128" s="162"/>
      <c r="D128" s="162"/>
      <c r="E128" s="162"/>
      <c r="F128" s="162"/>
      <c r="G128" s="162"/>
    </row>
    <row r="129" spans="2:7" x14ac:dyDescent="0.6">
      <c r="B129" s="158"/>
      <c r="C129" s="152"/>
      <c r="D129" s="152"/>
      <c r="E129" s="153"/>
      <c r="F129" s="154"/>
      <c r="G129" s="155"/>
    </row>
    <row r="130" spans="2:7" x14ac:dyDescent="0.6">
      <c r="B130" s="158"/>
      <c r="C130" s="152"/>
      <c r="D130" s="152"/>
      <c r="E130" s="153"/>
      <c r="F130" s="154"/>
      <c r="G130" s="155"/>
    </row>
    <row r="131" spans="2:7" x14ac:dyDescent="0.6">
      <c r="B131" s="158"/>
      <c r="C131" s="152"/>
      <c r="D131" s="152"/>
      <c r="E131" s="153"/>
      <c r="F131" s="154"/>
      <c r="G131" s="155"/>
    </row>
    <row r="132" spans="2:7" x14ac:dyDescent="0.6">
      <c r="B132" s="158"/>
      <c r="C132" s="152"/>
      <c r="D132" s="152"/>
      <c r="E132" s="153"/>
      <c r="F132" s="154"/>
      <c r="G132" s="155"/>
    </row>
    <row r="133" spans="2:7" x14ac:dyDescent="0.6">
      <c r="B133" s="158"/>
      <c r="C133" s="152"/>
      <c r="D133" s="152"/>
      <c r="E133" s="153"/>
      <c r="F133" s="154"/>
      <c r="G133" s="155"/>
    </row>
    <row r="134" spans="2:7" x14ac:dyDescent="0.6">
      <c r="B134" s="158"/>
      <c r="C134" s="152"/>
      <c r="D134" s="152"/>
      <c r="E134" s="153"/>
      <c r="F134" s="154"/>
      <c r="G134" s="155"/>
    </row>
    <row r="135" spans="2:7" x14ac:dyDescent="0.6">
      <c r="B135" s="158"/>
      <c r="C135" s="152"/>
      <c r="D135" s="152"/>
      <c r="E135" s="153"/>
      <c r="F135" s="154"/>
      <c r="G135" s="155"/>
    </row>
    <row r="136" spans="2:7" x14ac:dyDescent="0.6">
      <c r="B136" s="158"/>
      <c r="C136" s="152"/>
      <c r="D136" s="152"/>
      <c r="E136" s="153"/>
      <c r="F136" s="154"/>
      <c r="G136" s="155"/>
    </row>
    <row r="137" spans="2:7" x14ac:dyDescent="0.6">
      <c r="B137" s="345"/>
      <c r="C137" s="152"/>
      <c r="D137" s="152"/>
      <c r="E137" s="153"/>
      <c r="F137" s="154"/>
      <c r="G137" s="155"/>
    </row>
    <row r="138" spans="2:7" x14ac:dyDescent="0.6">
      <c r="B138" s="158"/>
      <c r="C138" s="152"/>
      <c r="D138" s="152"/>
      <c r="E138" s="153"/>
      <c r="F138" s="154"/>
      <c r="G138" s="155"/>
    </row>
    <row r="139" spans="2:7" x14ac:dyDescent="0.6">
      <c r="B139" s="158"/>
      <c r="C139" s="152"/>
      <c r="D139" s="152"/>
      <c r="E139" s="153"/>
      <c r="F139" s="154"/>
      <c r="G139" s="155"/>
    </row>
    <row r="140" spans="2:7" x14ac:dyDescent="0.6">
      <c r="B140" s="158"/>
      <c r="C140" s="152"/>
      <c r="D140" s="152"/>
      <c r="E140" s="153"/>
      <c r="F140" s="154"/>
      <c r="G140" s="155"/>
    </row>
    <row r="141" spans="2:7" ht="36" thickBot="1" x14ac:dyDescent="0.65">
      <c r="B141" s="345"/>
      <c r="C141" s="152"/>
      <c r="D141" s="152"/>
      <c r="E141" s="152"/>
      <c r="F141" s="152"/>
      <c r="G141" s="152"/>
    </row>
    <row r="142" spans="2:7" ht="36" thickBot="1" x14ac:dyDescent="0.65">
      <c r="B142" s="163"/>
      <c r="C142" s="164"/>
      <c r="D142" s="164"/>
      <c r="E142" s="164"/>
      <c r="F142" s="164"/>
      <c r="G142" s="164"/>
    </row>
  </sheetData>
  <mergeCells count="1">
    <mergeCell ref="B2:G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2F3BE-37D1-46EB-9290-7DA9C3F33671}">
  <dimension ref="E2:P23"/>
  <sheetViews>
    <sheetView topLeftCell="D1" zoomScale="98" zoomScaleNormal="96" workbookViewId="0">
      <selection activeCell="H21" sqref="H21"/>
    </sheetView>
  </sheetViews>
  <sheetFormatPr defaultColWidth="8.88671875" defaultRowHeight="15.6" x14ac:dyDescent="0.3"/>
  <cols>
    <col min="1" max="4" width="8.88671875" style="263"/>
    <col min="5" max="5" width="27.88671875" style="263" customWidth="1"/>
    <col min="6" max="10" width="20.33203125" style="263" bestFit="1" customWidth="1"/>
    <col min="11" max="11" width="27.88671875" style="263" customWidth="1"/>
    <col min="12" max="16" width="20.33203125" style="263" bestFit="1" customWidth="1"/>
    <col min="17" max="16384" width="8.88671875" style="263"/>
  </cols>
  <sheetData>
    <row r="2" spans="5:16" ht="16.2" thickBot="1" x14ac:dyDescent="0.35"/>
    <row r="3" spans="5:16" ht="34.200000000000003" customHeight="1" thickBot="1" x14ac:dyDescent="0.35">
      <c r="E3" s="612" t="s">
        <v>457</v>
      </c>
      <c r="F3" s="613"/>
      <c r="G3" s="613"/>
      <c r="H3" s="613"/>
      <c r="I3" s="613"/>
      <c r="J3" s="613"/>
      <c r="K3" s="613"/>
      <c r="L3" s="613"/>
      <c r="M3" s="613"/>
      <c r="N3" s="613"/>
      <c r="O3" s="613"/>
      <c r="P3" s="614"/>
    </row>
    <row r="4" spans="5:16" ht="16.2" thickBot="1" x14ac:dyDescent="0.35">
      <c r="E4" s="320"/>
      <c r="F4" s="321"/>
      <c r="G4" s="321"/>
      <c r="H4" s="321"/>
      <c r="I4" s="321"/>
      <c r="J4" s="321"/>
      <c r="K4" s="321"/>
      <c r="L4" s="321"/>
      <c r="M4" s="321"/>
      <c r="N4" s="321"/>
      <c r="O4" s="321"/>
      <c r="P4" s="322"/>
    </row>
    <row r="5" spans="5:16" s="323" customFormat="1" ht="19.8" thickBot="1" x14ac:dyDescent="0.4">
      <c r="E5" s="313" t="s">
        <v>358</v>
      </c>
      <c r="F5" s="314" t="s">
        <v>460</v>
      </c>
      <c r="G5" s="314" t="s">
        <v>461</v>
      </c>
      <c r="H5" s="314" t="s">
        <v>462</v>
      </c>
      <c r="I5" s="314" t="s">
        <v>463</v>
      </c>
      <c r="J5" s="314" t="s">
        <v>464</v>
      </c>
      <c r="K5" s="314" t="s">
        <v>359</v>
      </c>
      <c r="L5" s="314" t="s">
        <v>460</v>
      </c>
      <c r="M5" s="314" t="s">
        <v>461</v>
      </c>
      <c r="N5" s="314" t="s">
        <v>462</v>
      </c>
      <c r="O5" s="314" t="s">
        <v>463</v>
      </c>
      <c r="P5" s="315" t="s">
        <v>464</v>
      </c>
    </row>
    <row r="6" spans="5:16" ht="16.2" thickBot="1" x14ac:dyDescent="0.35">
      <c r="E6" s="324"/>
      <c r="F6" s="325"/>
      <c r="G6" s="325"/>
      <c r="H6" s="325"/>
      <c r="I6" s="325"/>
      <c r="J6" s="325"/>
      <c r="K6" s="325"/>
      <c r="L6" s="325"/>
      <c r="M6" s="325"/>
      <c r="N6" s="325"/>
      <c r="O6" s="325"/>
      <c r="P6" s="326"/>
    </row>
    <row r="7" spans="5:16" ht="21.6" customHeight="1" x14ac:dyDescent="0.3">
      <c r="E7" s="309" t="s">
        <v>360</v>
      </c>
      <c r="F7" s="316"/>
      <c r="G7" s="316">
        <f>L20</f>
        <v>899177.5</v>
      </c>
      <c r="H7" s="316">
        <f>M20</f>
        <v>699078.54999999981</v>
      </c>
      <c r="I7" s="316">
        <f>N20</f>
        <v>598042.17499999981</v>
      </c>
      <c r="J7" s="316">
        <f>O20</f>
        <v>812796.27499999851</v>
      </c>
      <c r="K7" s="309" t="s">
        <v>362</v>
      </c>
      <c r="L7" s="316">
        <v>2025750</v>
      </c>
      <c r="M7" s="316">
        <v>2025750</v>
      </c>
      <c r="N7" s="316">
        <v>1964977.5</v>
      </c>
      <c r="O7" s="316">
        <v>2357973</v>
      </c>
      <c r="P7" s="318">
        <v>2357973</v>
      </c>
    </row>
    <row r="8" spans="5:16" ht="21.6" customHeight="1" x14ac:dyDescent="0.3">
      <c r="E8" s="310" t="s">
        <v>361</v>
      </c>
      <c r="F8" s="317">
        <v>750000</v>
      </c>
      <c r="G8" s="317"/>
      <c r="H8" s="317"/>
      <c r="I8" s="317"/>
      <c r="J8" s="317"/>
      <c r="K8" s="310" t="s">
        <v>363</v>
      </c>
      <c r="L8" s="317">
        <v>36000</v>
      </c>
      <c r="M8" s="317">
        <v>36000</v>
      </c>
      <c r="N8" s="317">
        <v>36000</v>
      </c>
      <c r="O8" s="317">
        <v>43200</v>
      </c>
      <c r="P8" s="319">
        <v>43200</v>
      </c>
    </row>
    <row r="9" spans="5:16" ht="21.6" customHeight="1" x14ac:dyDescent="0.3">
      <c r="E9" s="310" t="s">
        <v>335</v>
      </c>
      <c r="F9" s="317">
        <f>'3 STATEMENT '!L7</f>
        <v>3600000</v>
      </c>
      <c r="G9" s="317">
        <f>'3 STATEMENT '!M7</f>
        <v>3798000</v>
      </c>
      <c r="H9" s="317">
        <f>'3 STATEMENT '!N7</f>
        <v>4082850</v>
      </c>
      <c r="I9" s="317">
        <f>'3 STATEMENT '!O7</f>
        <v>4470720.7499999991</v>
      </c>
      <c r="J9" s="317">
        <f>'3 STATEMENT '!P7</f>
        <v>4984853.6362499986</v>
      </c>
      <c r="K9" s="310" t="s">
        <v>365</v>
      </c>
      <c r="L9" s="317">
        <v>340000</v>
      </c>
      <c r="M9" s="317">
        <v>340000</v>
      </c>
      <c r="N9" s="317">
        <v>330000</v>
      </c>
      <c r="O9" s="317">
        <v>396000</v>
      </c>
      <c r="P9" s="319">
        <v>396000</v>
      </c>
    </row>
    <row r="10" spans="5:16" ht="21.6" customHeight="1" x14ac:dyDescent="0.3">
      <c r="E10" s="310" t="s">
        <v>364</v>
      </c>
      <c r="F10" s="317">
        <v>500000</v>
      </c>
      <c r="G10" s="317"/>
      <c r="H10" s="317"/>
      <c r="I10" s="317"/>
      <c r="J10" s="317"/>
      <c r="K10" s="310" t="s">
        <v>366</v>
      </c>
      <c r="L10" s="317">
        <v>272000</v>
      </c>
      <c r="M10" s="317">
        <v>272000</v>
      </c>
      <c r="N10" s="317">
        <v>272000</v>
      </c>
      <c r="O10" s="317">
        <v>350000</v>
      </c>
      <c r="P10" s="319">
        <v>350000</v>
      </c>
    </row>
    <row r="11" spans="5:16" ht="21.6" customHeight="1" x14ac:dyDescent="0.3">
      <c r="E11" s="310" t="str">
        <f>'3 STATEMENT '!K8</f>
        <v>Other Income</v>
      </c>
      <c r="F11" s="317">
        <f>'3 STATEMENT '!L8</f>
        <v>5000</v>
      </c>
      <c r="G11" s="317">
        <f>'3 STATEMENT '!M8</f>
        <v>7500</v>
      </c>
      <c r="H11" s="317">
        <f>'3 STATEMENT '!N8</f>
        <v>11250</v>
      </c>
      <c r="I11" s="317">
        <f>'3 STATEMENT '!O8</f>
        <v>16875</v>
      </c>
      <c r="J11" s="317">
        <f>'3 STATEMENT '!P8</f>
        <v>25312.5</v>
      </c>
      <c r="K11" s="310" t="s">
        <v>367</v>
      </c>
      <c r="L11" s="317">
        <v>60000</v>
      </c>
      <c r="M11" s="317">
        <v>30000</v>
      </c>
      <c r="N11" s="317">
        <v>30000</v>
      </c>
      <c r="O11" s="317">
        <v>36000</v>
      </c>
      <c r="P11" s="319">
        <v>36000</v>
      </c>
    </row>
    <row r="12" spans="5:16" ht="21.6" customHeight="1" x14ac:dyDescent="0.3">
      <c r="E12" s="311"/>
      <c r="F12" s="306"/>
      <c r="G12" s="306"/>
      <c r="H12" s="306"/>
      <c r="I12" s="306"/>
      <c r="J12" s="306"/>
      <c r="K12" s="310" t="s">
        <v>368</v>
      </c>
      <c r="L12" s="317">
        <v>429600</v>
      </c>
      <c r="M12" s="317">
        <v>429600</v>
      </c>
      <c r="N12" s="317">
        <v>369600</v>
      </c>
      <c r="O12" s="317">
        <v>369600</v>
      </c>
      <c r="P12" s="319">
        <v>309600</v>
      </c>
    </row>
    <row r="13" spans="5:16" ht="21.6" customHeight="1" x14ac:dyDescent="0.3">
      <c r="E13" s="311"/>
      <c r="F13" s="306"/>
      <c r="G13" s="306"/>
      <c r="H13" s="306"/>
      <c r="I13" s="306"/>
      <c r="J13" s="306"/>
      <c r="K13" s="310" t="s">
        <v>369</v>
      </c>
      <c r="L13" s="317">
        <v>516600</v>
      </c>
      <c r="M13" s="317">
        <v>516600</v>
      </c>
      <c r="N13" s="317">
        <v>516600</v>
      </c>
      <c r="O13" s="317">
        <v>516600</v>
      </c>
      <c r="P13" s="319">
        <v>516600</v>
      </c>
    </row>
    <row r="14" spans="5:16" ht="21.6" customHeight="1" x14ac:dyDescent="0.3">
      <c r="E14" s="311"/>
      <c r="F14" s="306"/>
      <c r="G14" s="306"/>
      <c r="H14" s="306"/>
      <c r="I14" s="306"/>
      <c r="J14" s="306"/>
      <c r="K14" s="310" t="s">
        <v>370</v>
      </c>
      <c r="L14" s="317">
        <v>75000</v>
      </c>
      <c r="M14" s="317">
        <v>75000</v>
      </c>
      <c r="N14" s="317"/>
      <c r="O14" s="317"/>
      <c r="P14" s="319"/>
    </row>
    <row r="15" spans="5:16" ht="21.6" customHeight="1" x14ac:dyDescent="0.3">
      <c r="E15" s="311"/>
      <c r="F15" s="306"/>
      <c r="G15" s="306"/>
      <c r="H15" s="306"/>
      <c r="I15" s="306"/>
      <c r="J15" s="306"/>
      <c r="K15" s="310" t="s">
        <v>371</v>
      </c>
      <c r="L15" s="317" t="s">
        <v>321</v>
      </c>
      <c r="M15" s="317">
        <f>'3 STATEMENT '!T10</f>
        <v>94401.45</v>
      </c>
      <c r="N15" s="317"/>
      <c r="O15" s="317"/>
      <c r="P15" s="319"/>
    </row>
    <row r="16" spans="5:16" ht="21.6" customHeight="1" x14ac:dyDescent="0.3">
      <c r="E16" s="311"/>
      <c r="F16" s="306"/>
      <c r="G16" s="306"/>
      <c r="H16" s="306"/>
      <c r="I16" s="306"/>
      <c r="J16" s="306"/>
      <c r="K16" s="310" t="s">
        <v>372</v>
      </c>
      <c r="L16" s="317">
        <v>5000</v>
      </c>
      <c r="M16" s="317" t="s">
        <v>321</v>
      </c>
      <c r="N16" s="317"/>
      <c r="O16" s="317"/>
      <c r="P16" s="319"/>
    </row>
    <row r="17" spans="5:16" ht="21.6" customHeight="1" x14ac:dyDescent="0.3">
      <c r="E17" s="311"/>
      <c r="F17" s="306"/>
      <c r="G17" s="306"/>
      <c r="H17" s="306"/>
      <c r="I17" s="306"/>
      <c r="J17" s="306"/>
      <c r="K17" s="310" t="s">
        <v>373</v>
      </c>
      <c r="L17" s="317">
        <v>7500</v>
      </c>
      <c r="M17" s="317" t="s">
        <v>321</v>
      </c>
      <c r="N17" s="317"/>
      <c r="O17" s="317"/>
      <c r="P17" s="319"/>
    </row>
    <row r="18" spans="5:16" ht="21.6" customHeight="1" x14ac:dyDescent="0.3">
      <c r="E18" s="311"/>
      <c r="F18" s="306"/>
      <c r="G18" s="306"/>
      <c r="H18" s="306"/>
      <c r="I18" s="306"/>
      <c r="J18" s="306"/>
      <c r="K18" s="310" t="s">
        <v>374</v>
      </c>
      <c r="L18" s="317"/>
      <c r="M18" s="317"/>
      <c r="N18" s="317">
        <v>500000</v>
      </c>
      <c r="O18" s="317"/>
      <c r="P18" s="319"/>
    </row>
    <row r="19" spans="5:16" ht="21.6" customHeight="1" x14ac:dyDescent="0.3">
      <c r="E19" s="311"/>
      <c r="F19" s="306"/>
      <c r="G19" s="306"/>
      <c r="H19" s="306"/>
      <c r="I19" s="306"/>
      <c r="J19" s="306"/>
      <c r="K19" s="310" t="s">
        <v>375</v>
      </c>
      <c r="L19" s="317">
        <f>SUM(L7:L17)*5%</f>
        <v>188372.5</v>
      </c>
      <c r="M19" s="317">
        <f>SUM(M7:M14)*5%</f>
        <v>186247.5</v>
      </c>
      <c r="N19" s="317">
        <f>SUM(N7:N14)*5%</f>
        <v>175958.875</v>
      </c>
      <c r="O19" s="317">
        <f>SUM(O7:O14)*5%</f>
        <v>203468.65000000002</v>
      </c>
      <c r="P19" s="319">
        <f>SUM(P7:P14)*5%</f>
        <v>200468.65000000002</v>
      </c>
    </row>
    <row r="20" spans="5:16" ht="21.6" customHeight="1" thickBot="1" x14ac:dyDescent="0.35">
      <c r="E20" s="312"/>
      <c r="F20" s="308"/>
      <c r="G20" s="308"/>
      <c r="H20" s="308"/>
      <c r="I20" s="308"/>
      <c r="J20" s="308"/>
      <c r="K20" s="333" t="s">
        <v>376</v>
      </c>
      <c r="L20" s="334">
        <f>F22-SUM(L7:L19)</f>
        <v>899177.5</v>
      </c>
      <c r="M20" s="334">
        <f>G22-SUM(M7:M19)</f>
        <v>699078.54999999981</v>
      </c>
      <c r="N20" s="334">
        <f>H22-SUM(N7:N19)</f>
        <v>598042.17499999981</v>
      </c>
      <c r="O20" s="334">
        <f>I22-SUM(O7:O19)</f>
        <v>812796.27499999851</v>
      </c>
      <c r="P20" s="335">
        <f>J22-SUM(P7:P19)</f>
        <v>1613120.7612499967</v>
      </c>
    </row>
    <row r="21" spans="5:16" x14ac:dyDescent="0.3">
      <c r="E21" s="327"/>
      <c r="F21" s="328"/>
      <c r="G21" s="328"/>
      <c r="H21" s="328"/>
      <c r="I21" s="328"/>
      <c r="J21" s="328"/>
      <c r="K21" s="328"/>
      <c r="L21" s="328"/>
      <c r="M21" s="328"/>
      <c r="N21" s="328"/>
      <c r="O21" s="328"/>
      <c r="P21" s="329"/>
    </row>
    <row r="22" spans="5:16" s="340" customFormat="1" ht="27" customHeight="1" x14ac:dyDescent="0.3">
      <c r="E22" s="336" t="s">
        <v>339</v>
      </c>
      <c r="F22" s="337">
        <f>SUM(F8:F21)</f>
        <v>4855000</v>
      </c>
      <c r="G22" s="337">
        <f>SUM(G7:G21)</f>
        <v>4704677.5</v>
      </c>
      <c r="H22" s="337">
        <f>SUM(H7:H21)</f>
        <v>4793178.55</v>
      </c>
      <c r="I22" s="337">
        <f>SUM(I7:I21)</f>
        <v>5085637.9249999989</v>
      </c>
      <c r="J22" s="337">
        <f>SUM(J7:J21)</f>
        <v>5822962.4112499971</v>
      </c>
      <c r="K22" s="338" t="s">
        <v>339</v>
      </c>
      <c r="L22" s="337">
        <f>SUM(L7:L20)</f>
        <v>4855000</v>
      </c>
      <c r="M22" s="337">
        <f>SUM(M7:M20)</f>
        <v>4704677.5</v>
      </c>
      <c r="N22" s="337">
        <f>SUM(N7:N20)</f>
        <v>4793178.55</v>
      </c>
      <c r="O22" s="337">
        <f>SUM(O7:O20)</f>
        <v>5085637.9249999989</v>
      </c>
      <c r="P22" s="339">
        <f>SUM(P7:P20)</f>
        <v>5822962.4112499971</v>
      </c>
    </row>
    <row r="23" spans="5:16" ht="16.2" thickBot="1" x14ac:dyDescent="0.35">
      <c r="E23" s="330"/>
      <c r="F23" s="331"/>
      <c r="G23" s="331"/>
      <c r="H23" s="331"/>
      <c r="I23" s="331"/>
      <c r="J23" s="331"/>
      <c r="K23" s="331"/>
      <c r="L23" s="331"/>
      <c r="M23" s="331"/>
      <c r="N23" s="331"/>
      <c r="O23" s="331"/>
      <c r="P23" s="332"/>
    </row>
  </sheetData>
  <mergeCells count="1">
    <mergeCell ref="E3:P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B3E02-F6AB-4B5F-BCF7-D4B5D62B6082}">
  <dimension ref="B1:J52"/>
  <sheetViews>
    <sheetView zoomScale="90" zoomScaleNormal="124" workbookViewId="0">
      <selection activeCell="J14" sqref="J14"/>
    </sheetView>
  </sheetViews>
  <sheetFormatPr defaultRowHeight="14.4" x14ac:dyDescent="0.3"/>
  <cols>
    <col min="1" max="1" width="7.88671875" customWidth="1"/>
    <col min="2" max="2" width="5.109375" style="446" customWidth="1"/>
    <col min="3" max="3" width="34.6640625" style="446" customWidth="1"/>
    <col min="4" max="8" width="16.88671875" style="129" customWidth="1"/>
  </cols>
  <sheetData>
    <row r="1" spans="2:10" ht="15" thickBot="1" x14ac:dyDescent="0.35"/>
    <row r="2" spans="2:10" ht="22.5" customHeight="1" thickBot="1" x14ac:dyDescent="0.35">
      <c r="B2" s="641" t="s">
        <v>404</v>
      </c>
      <c r="C2" s="642"/>
      <c r="D2" s="642"/>
      <c r="E2" s="642"/>
      <c r="F2" s="642"/>
      <c r="G2" s="642"/>
      <c r="H2" s="643"/>
      <c r="I2" s="13"/>
    </row>
    <row r="3" spans="2:10" ht="15" thickBot="1" x14ac:dyDescent="0.35">
      <c r="B3" s="471"/>
      <c r="D3" s="472"/>
      <c r="E3" s="472"/>
      <c r="F3" s="472"/>
      <c r="G3" s="472"/>
      <c r="H3" s="473"/>
    </row>
    <row r="4" spans="2:10" ht="19.2" thickBot="1" x14ac:dyDescent="0.35">
      <c r="B4" s="644" t="s">
        <v>313</v>
      </c>
      <c r="C4" s="645"/>
      <c r="D4" s="466" t="s">
        <v>460</v>
      </c>
      <c r="E4" s="314" t="s">
        <v>461</v>
      </c>
      <c r="F4" s="314" t="s">
        <v>462</v>
      </c>
      <c r="G4" s="314" t="s">
        <v>463</v>
      </c>
      <c r="H4" s="315" t="s">
        <v>464</v>
      </c>
    </row>
    <row r="5" spans="2:10" x14ac:dyDescent="0.3">
      <c r="B5" s="447"/>
      <c r="C5" s="447"/>
      <c r="D5" s="457"/>
      <c r="E5" s="457"/>
      <c r="F5" s="457"/>
      <c r="G5" s="457"/>
      <c r="H5" s="474"/>
    </row>
    <row r="6" spans="2:10" s="1" customFormat="1" ht="14.25" customHeight="1" x14ac:dyDescent="0.3">
      <c r="B6" s="453" t="s">
        <v>510</v>
      </c>
      <c r="C6" s="453"/>
      <c r="D6" s="457"/>
      <c r="E6" s="457"/>
      <c r="F6" s="457"/>
      <c r="G6" s="457"/>
      <c r="H6" s="474"/>
      <c r="I6" s="125"/>
      <c r="J6" s="126"/>
    </row>
    <row r="7" spans="2:10" s="1" customFormat="1" ht="14.25" customHeight="1" x14ac:dyDescent="0.3">
      <c r="B7" s="457"/>
      <c r="C7" s="457"/>
      <c r="D7" s="457"/>
      <c r="E7" s="457"/>
      <c r="F7" s="457"/>
      <c r="G7" s="457"/>
      <c r="H7" s="474"/>
      <c r="I7" s="125"/>
      <c r="J7" s="126"/>
    </row>
    <row r="8" spans="2:10" s="1" customFormat="1" ht="14.25" customHeight="1" x14ac:dyDescent="0.3">
      <c r="B8" s="637" t="s">
        <v>405</v>
      </c>
      <c r="C8" s="638"/>
      <c r="D8" s="457"/>
      <c r="E8" s="457"/>
      <c r="F8" s="457"/>
      <c r="G8" s="457"/>
      <c r="H8" s="474"/>
    </row>
    <row r="9" spans="2:10" s="1" customFormat="1" ht="14.25" customHeight="1" x14ac:dyDescent="0.3">
      <c r="B9" s="447"/>
      <c r="C9" s="447" t="s">
        <v>406</v>
      </c>
      <c r="D9" s="462">
        <f>'3 STATEMENT '!L7</f>
        <v>3600000</v>
      </c>
      <c r="E9" s="462">
        <f>'3 STATEMENT '!M7</f>
        <v>3798000</v>
      </c>
      <c r="F9" s="462">
        <f>'3 STATEMENT '!N7</f>
        <v>4082850</v>
      </c>
      <c r="G9" s="462">
        <f>'3 STATEMENT '!O7</f>
        <v>4470720.7499999991</v>
      </c>
      <c r="H9" s="475">
        <f>'3 STATEMENT '!P7</f>
        <v>4984853.6362499986</v>
      </c>
    </row>
    <row r="10" spans="2:10" s="1" customFormat="1" ht="14.25" customHeight="1" x14ac:dyDescent="0.3">
      <c r="B10" s="447"/>
      <c r="C10" s="447" t="s">
        <v>407</v>
      </c>
      <c r="D10" s="462">
        <f>'3 STATEMENT '!L8</f>
        <v>5000</v>
      </c>
      <c r="E10" s="462">
        <f>'3 STATEMENT '!M8</f>
        <v>7500</v>
      </c>
      <c r="F10" s="462">
        <f>'3 STATEMENT '!N8</f>
        <v>11250</v>
      </c>
      <c r="G10" s="462">
        <f>'3 STATEMENT '!O8</f>
        <v>16875</v>
      </c>
      <c r="H10" s="475">
        <f>'3 STATEMENT '!P8</f>
        <v>25312.5</v>
      </c>
    </row>
    <row r="11" spans="2:10" s="1" customFormat="1" ht="14.25" customHeight="1" x14ac:dyDescent="0.3">
      <c r="B11" s="447"/>
      <c r="C11" s="458" t="s">
        <v>408</v>
      </c>
      <c r="D11" s="470">
        <f>SUM(D8:D10)</f>
        <v>3605000</v>
      </c>
      <c r="E11" s="470">
        <f t="shared" ref="E11:H11" si="0">SUM(E8:E10)</f>
        <v>3805500</v>
      </c>
      <c r="F11" s="470">
        <f t="shared" si="0"/>
        <v>4094100</v>
      </c>
      <c r="G11" s="470">
        <f t="shared" si="0"/>
        <v>4487595.7499999991</v>
      </c>
      <c r="H11" s="476">
        <f t="shared" si="0"/>
        <v>5010166.1362499986</v>
      </c>
    </row>
    <row r="12" spans="2:10" s="1" customFormat="1" ht="14.25" customHeight="1" x14ac:dyDescent="0.3">
      <c r="B12" s="637" t="s">
        <v>409</v>
      </c>
      <c r="C12" s="638"/>
      <c r="D12" s="462"/>
      <c r="E12" s="462"/>
      <c r="F12" s="462"/>
      <c r="G12" s="462"/>
      <c r="H12" s="475"/>
    </row>
    <row r="13" spans="2:10" s="1" customFormat="1" ht="14.25" customHeight="1" x14ac:dyDescent="0.3">
      <c r="B13" s="447"/>
      <c r="C13" s="447" t="s">
        <v>410</v>
      </c>
      <c r="D13" s="462">
        <f>'3 STATEMENT '!S7</f>
        <v>750000</v>
      </c>
      <c r="E13" s="462"/>
      <c r="F13" s="462"/>
      <c r="G13" s="462"/>
      <c r="H13" s="475"/>
    </row>
    <row r="14" spans="2:10" s="1" customFormat="1" ht="14.25" customHeight="1" x14ac:dyDescent="0.3">
      <c r="B14" s="447"/>
      <c r="C14" s="447" t="s">
        <v>411</v>
      </c>
      <c r="D14" s="462">
        <f>'3 STATEMENT '!S8</f>
        <v>500000</v>
      </c>
      <c r="E14" s="462"/>
      <c r="F14" s="462"/>
      <c r="G14" s="462"/>
      <c r="H14" s="475"/>
    </row>
    <row r="15" spans="2:10" s="1" customFormat="1" ht="14.25" customHeight="1" x14ac:dyDescent="0.3">
      <c r="B15" s="447"/>
      <c r="C15" s="458" t="s">
        <v>412</v>
      </c>
      <c r="D15" s="470">
        <f>SUM(D12:D14)</f>
        <v>1250000</v>
      </c>
      <c r="E15" s="470">
        <f t="shared" ref="E15:H15" si="1">SUM(E12:E14)</f>
        <v>0</v>
      </c>
      <c r="F15" s="470">
        <f t="shared" si="1"/>
        <v>0</v>
      </c>
      <c r="G15" s="470">
        <f t="shared" si="1"/>
        <v>0</v>
      </c>
      <c r="H15" s="476">
        <f t="shared" si="1"/>
        <v>0</v>
      </c>
    </row>
    <row r="16" spans="2:10" s="1" customFormat="1" ht="14.25" customHeight="1" x14ac:dyDescent="0.3">
      <c r="B16" s="637" t="s">
        <v>413</v>
      </c>
      <c r="C16" s="638"/>
      <c r="D16" s="462"/>
      <c r="E16" s="462"/>
      <c r="F16" s="462"/>
      <c r="G16" s="462"/>
      <c r="H16" s="475"/>
    </row>
    <row r="17" spans="2:8" s="1" customFormat="1" ht="14.25" customHeight="1" x14ac:dyDescent="0.3">
      <c r="B17" s="447"/>
      <c r="C17" s="447" t="s">
        <v>414</v>
      </c>
      <c r="D17" s="462"/>
      <c r="E17" s="462"/>
      <c r="F17" s="462"/>
      <c r="G17" s="462"/>
      <c r="H17" s="475"/>
    </row>
    <row r="18" spans="2:8" s="1" customFormat="1" ht="14.25" customHeight="1" x14ac:dyDescent="0.3">
      <c r="B18" s="447"/>
      <c r="C18" s="447" t="s">
        <v>415</v>
      </c>
      <c r="D18" s="462"/>
      <c r="E18" s="462"/>
      <c r="F18" s="462"/>
      <c r="G18" s="462"/>
      <c r="H18" s="475"/>
    </row>
    <row r="19" spans="2:8" s="1" customFormat="1" ht="14.25" customHeight="1" x14ac:dyDescent="0.3">
      <c r="B19" s="447"/>
      <c r="C19" s="447" t="s">
        <v>416</v>
      </c>
      <c r="D19" s="462"/>
      <c r="E19" s="462"/>
      <c r="F19" s="462"/>
      <c r="G19" s="462"/>
      <c r="H19" s="475"/>
    </row>
    <row r="20" spans="2:8" s="1" customFormat="1" ht="14.25" customHeight="1" x14ac:dyDescent="0.3">
      <c r="B20" s="447"/>
      <c r="C20" s="458" t="s">
        <v>417</v>
      </c>
      <c r="D20" s="470">
        <f>SUM(D16:D19)</f>
        <v>0</v>
      </c>
      <c r="E20" s="470">
        <f>SUM(E16:E19)</f>
        <v>0</v>
      </c>
      <c r="F20" s="470">
        <f>SUM(F16:F19)</f>
        <v>0</v>
      </c>
      <c r="G20" s="470">
        <f>SUM(G16:G19)</f>
        <v>0</v>
      </c>
      <c r="H20" s="476">
        <f>SUM(H16:H19)</f>
        <v>0</v>
      </c>
    </row>
    <row r="21" spans="2:8" s="1" customFormat="1" ht="14.25" customHeight="1" x14ac:dyDescent="0.3">
      <c r="B21" s="447"/>
      <c r="C21" s="447"/>
      <c r="D21" s="457"/>
      <c r="E21" s="457"/>
      <c r="F21" s="457"/>
      <c r="G21" s="457"/>
      <c r="H21" s="474"/>
    </row>
    <row r="22" spans="2:8" s="1" customFormat="1" ht="14.25" customHeight="1" x14ac:dyDescent="0.3">
      <c r="B22" s="639" t="s">
        <v>418</v>
      </c>
      <c r="C22" s="640"/>
      <c r="D22" s="467">
        <f>D20+D15+D11</f>
        <v>4855000</v>
      </c>
      <c r="E22" s="468">
        <f>E20+E15+E11</f>
        <v>3805500</v>
      </c>
      <c r="F22" s="467">
        <f>F20+F15+F11</f>
        <v>4094100</v>
      </c>
      <c r="G22" s="468">
        <f>G20+G15+G11</f>
        <v>4487595.7499999991</v>
      </c>
      <c r="H22" s="469">
        <f>H20+H15+H11</f>
        <v>5010166.1362499986</v>
      </c>
    </row>
    <row r="23" spans="2:8" s="1" customFormat="1" ht="14.25" customHeight="1" x14ac:dyDescent="0.3">
      <c r="B23" s="447"/>
      <c r="C23" s="447"/>
      <c r="D23" s="457"/>
      <c r="E23" s="457"/>
      <c r="F23" s="457"/>
      <c r="G23" s="457"/>
      <c r="H23" s="474"/>
    </row>
    <row r="24" spans="2:8" s="1" customFormat="1" ht="14.25" customHeight="1" x14ac:dyDescent="0.3">
      <c r="B24" s="453" t="s">
        <v>511</v>
      </c>
      <c r="C24" s="453"/>
      <c r="D24" s="457"/>
      <c r="E24" s="457"/>
      <c r="F24" s="457"/>
      <c r="G24" s="457"/>
      <c r="H24" s="474"/>
    </row>
    <row r="25" spans="2:8" s="1" customFormat="1" ht="14.25" customHeight="1" x14ac:dyDescent="0.3">
      <c r="B25" s="637" t="s">
        <v>512</v>
      </c>
      <c r="C25" s="638"/>
      <c r="D25" s="457"/>
      <c r="E25" s="457"/>
      <c r="F25" s="457"/>
      <c r="G25" s="457"/>
      <c r="H25" s="474"/>
    </row>
    <row r="26" spans="2:8" s="1" customFormat="1" ht="14.25" customHeight="1" x14ac:dyDescent="0.3">
      <c r="B26" s="447"/>
      <c r="C26" s="447" t="s">
        <v>362</v>
      </c>
      <c r="D26" s="462">
        <f>'3 STATEMENT '!E7</f>
        <v>2025750</v>
      </c>
      <c r="E26" s="462">
        <f>'3 STATEMENT '!F7</f>
        <v>2025750</v>
      </c>
      <c r="F26" s="462">
        <f>'3 STATEMENT '!G7</f>
        <v>1964977.5</v>
      </c>
      <c r="G26" s="462">
        <f>'3 STATEMENT '!H7</f>
        <v>2357973</v>
      </c>
      <c r="H26" s="475">
        <f>'3 STATEMENT '!I7</f>
        <v>2357973</v>
      </c>
    </row>
    <row r="27" spans="2:8" s="1" customFormat="1" ht="14.25" customHeight="1" x14ac:dyDescent="0.3">
      <c r="B27" s="447"/>
      <c r="C27" s="447" t="s">
        <v>363</v>
      </c>
      <c r="D27" s="462">
        <f>'3 STATEMENT '!E8</f>
        <v>36000</v>
      </c>
      <c r="E27" s="462">
        <f>'3 STATEMENT '!F8</f>
        <v>36000</v>
      </c>
      <c r="F27" s="462">
        <f>'3 STATEMENT '!G8</f>
        <v>36000</v>
      </c>
      <c r="G27" s="462">
        <f>'3 STATEMENT '!H8</f>
        <v>43200</v>
      </c>
      <c r="H27" s="475">
        <f>'3 STATEMENT '!I8</f>
        <v>43200</v>
      </c>
    </row>
    <row r="28" spans="2:8" s="1" customFormat="1" ht="14.25" customHeight="1" x14ac:dyDescent="0.3">
      <c r="B28" s="447"/>
      <c r="C28" s="447" t="s">
        <v>365</v>
      </c>
      <c r="D28" s="462">
        <f>'3 STATEMENT '!E9</f>
        <v>340000</v>
      </c>
      <c r="E28" s="462">
        <f>'3 STATEMENT '!F9</f>
        <v>340000</v>
      </c>
      <c r="F28" s="462">
        <f>'3 STATEMENT '!G9</f>
        <v>330000</v>
      </c>
      <c r="G28" s="462">
        <f>'3 STATEMENT '!H9</f>
        <v>396000</v>
      </c>
      <c r="H28" s="475">
        <f>'3 STATEMENT '!I9</f>
        <v>396000</v>
      </c>
    </row>
    <row r="29" spans="2:8" s="1" customFormat="1" ht="14.25" customHeight="1" x14ac:dyDescent="0.3">
      <c r="B29" s="447"/>
      <c r="C29" s="447" t="s">
        <v>366</v>
      </c>
      <c r="D29" s="462">
        <f>'3 STATEMENT '!E10</f>
        <v>272000</v>
      </c>
      <c r="E29" s="462">
        <f>'3 STATEMENT '!F10</f>
        <v>272000</v>
      </c>
      <c r="F29" s="462">
        <f>'3 STATEMENT '!G10</f>
        <v>272000</v>
      </c>
      <c r="G29" s="462">
        <f>'3 STATEMENT '!H10</f>
        <v>350000</v>
      </c>
      <c r="H29" s="475">
        <f>'3 STATEMENT '!I10</f>
        <v>350000</v>
      </c>
    </row>
    <row r="30" spans="2:8" s="1" customFormat="1" ht="14.25" customHeight="1" x14ac:dyDescent="0.3">
      <c r="B30" s="447"/>
      <c r="C30" s="447" t="s">
        <v>367</v>
      </c>
      <c r="D30" s="462">
        <f>'3 STATEMENT '!E11</f>
        <v>60000</v>
      </c>
      <c r="E30" s="462">
        <f>'3 STATEMENT '!F11</f>
        <v>30000</v>
      </c>
      <c r="F30" s="462">
        <f>'3 STATEMENT '!G11</f>
        <v>30000</v>
      </c>
      <c r="G30" s="462">
        <f>'3 STATEMENT '!H11</f>
        <v>36000</v>
      </c>
      <c r="H30" s="475">
        <f>'3 STATEMENT '!I11</f>
        <v>36000</v>
      </c>
    </row>
    <row r="31" spans="2:8" s="1" customFormat="1" ht="14.25" customHeight="1" x14ac:dyDescent="0.3">
      <c r="B31" s="447"/>
      <c r="C31" s="447" t="s">
        <v>368</v>
      </c>
      <c r="D31" s="462">
        <f>'3 STATEMENT '!E12</f>
        <v>429600</v>
      </c>
      <c r="E31" s="462">
        <f>'3 STATEMENT '!F12</f>
        <v>429600</v>
      </c>
      <c r="F31" s="462">
        <f>'3 STATEMENT '!G12</f>
        <v>369600</v>
      </c>
      <c r="G31" s="462">
        <f>'3 STATEMENT '!H12</f>
        <v>369600</v>
      </c>
      <c r="H31" s="475">
        <f>'3 STATEMENT '!I12</f>
        <v>309600</v>
      </c>
    </row>
    <row r="32" spans="2:8" s="1" customFormat="1" ht="14.25" customHeight="1" x14ac:dyDescent="0.3">
      <c r="B32" s="447"/>
      <c r="C32" s="447" t="s">
        <v>369</v>
      </c>
      <c r="D32" s="462">
        <f>'3 STATEMENT '!E13</f>
        <v>516600</v>
      </c>
      <c r="E32" s="462">
        <f>'3 STATEMENT '!F13</f>
        <v>516600</v>
      </c>
      <c r="F32" s="462">
        <f>'3 STATEMENT '!G13</f>
        <v>516600</v>
      </c>
      <c r="G32" s="462">
        <f>'3 STATEMENT '!H13</f>
        <v>516600</v>
      </c>
      <c r="H32" s="475">
        <f>'3 STATEMENT '!I13</f>
        <v>516600</v>
      </c>
    </row>
    <row r="33" spans="2:8" s="1" customFormat="1" ht="14.25" customHeight="1" x14ac:dyDescent="0.3">
      <c r="B33" s="447"/>
      <c r="C33" s="447" t="s">
        <v>375</v>
      </c>
      <c r="D33" s="462">
        <f>'3 STATEMENT '!E17</f>
        <v>188372.5</v>
      </c>
      <c r="E33" s="462">
        <f>'3 STATEMENT '!F17</f>
        <v>186247.5</v>
      </c>
      <c r="F33" s="462">
        <f>'3 STATEMENT '!G17</f>
        <v>175958.875</v>
      </c>
      <c r="G33" s="462">
        <f>'3 STATEMENT '!H17</f>
        <v>203468.65000000002</v>
      </c>
      <c r="H33" s="475">
        <f>'3 STATEMENT '!I17</f>
        <v>200468.65000000002</v>
      </c>
    </row>
    <row r="34" spans="2:8" s="1" customFormat="1" ht="14.25" customHeight="1" x14ac:dyDescent="0.3">
      <c r="B34" s="447"/>
      <c r="C34" s="447" t="s">
        <v>419</v>
      </c>
      <c r="D34" s="462"/>
      <c r="E34" s="462">
        <f>'3 STATEMENT '!F20+'3 STATEMENT '!F21</f>
        <v>94401.45</v>
      </c>
      <c r="F34" s="462"/>
      <c r="G34" s="462"/>
      <c r="H34" s="475"/>
    </row>
    <row r="35" spans="2:8" s="1" customFormat="1" ht="14.25" customHeight="1" x14ac:dyDescent="0.3">
      <c r="B35" s="447"/>
      <c r="C35" s="458" t="s">
        <v>420</v>
      </c>
      <c r="D35" s="470">
        <f>SUM(D25:D34)</f>
        <v>3868322.5</v>
      </c>
      <c r="E35" s="470">
        <f>SUM(E25:E34)</f>
        <v>3930598.95</v>
      </c>
      <c r="F35" s="470">
        <f>SUM(F25:F34)</f>
        <v>3695136.375</v>
      </c>
      <c r="G35" s="470">
        <f>SUM(G25:G34)</f>
        <v>4272841.6500000004</v>
      </c>
      <c r="H35" s="476">
        <f>SUM(H25:H34)</f>
        <v>4209841.6500000004</v>
      </c>
    </row>
    <row r="36" spans="2:8" s="1" customFormat="1" ht="14.25" customHeight="1" x14ac:dyDescent="0.3">
      <c r="B36" s="637" t="s">
        <v>513</v>
      </c>
      <c r="C36" s="638"/>
      <c r="D36" s="462"/>
      <c r="E36" s="462"/>
      <c r="F36" s="462"/>
      <c r="G36" s="462"/>
      <c r="H36" s="475"/>
    </row>
    <row r="37" spans="2:8" s="1" customFormat="1" ht="14.25" customHeight="1" x14ac:dyDescent="0.3">
      <c r="B37" s="447"/>
      <c r="C37" s="447" t="s">
        <v>421</v>
      </c>
      <c r="D37" s="462"/>
      <c r="E37" s="462"/>
      <c r="F37" s="462">
        <v>500000</v>
      </c>
      <c r="G37" s="462"/>
      <c r="H37" s="475"/>
    </row>
    <row r="38" spans="2:8" s="1" customFormat="1" ht="14.25" customHeight="1" x14ac:dyDescent="0.3">
      <c r="B38" s="447"/>
      <c r="C38" s="447" t="s">
        <v>422</v>
      </c>
      <c r="D38" s="462"/>
      <c r="E38" s="462"/>
      <c r="F38" s="462"/>
      <c r="G38" s="462"/>
      <c r="H38" s="475"/>
    </row>
    <row r="39" spans="2:8" s="1" customFormat="1" ht="14.25" customHeight="1" x14ac:dyDescent="0.3">
      <c r="B39" s="447"/>
      <c r="C39" s="447" t="s">
        <v>423</v>
      </c>
      <c r="D39" s="462">
        <f>'3 STATEMENT '!E14</f>
        <v>75000</v>
      </c>
      <c r="E39" s="462">
        <f>'3 STATEMENT '!F14</f>
        <v>75000</v>
      </c>
      <c r="F39" s="462"/>
      <c r="G39" s="462"/>
      <c r="H39" s="475"/>
    </row>
    <row r="40" spans="2:8" s="1" customFormat="1" ht="14.25" customHeight="1" x14ac:dyDescent="0.3">
      <c r="B40" s="447"/>
      <c r="C40" s="458" t="s">
        <v>424</v>
      </c>
      <c r="D40" s="470">
        <f>SUM(D36:D39)</f>
        <v>75000</v>
      </c>
      <c r="E40" s="470">
        <f t="shared" ref="E40:H40" si="2">SUM(E36:E39)</f>
        <v>75000</v>
      </c>
      <c r="F40" s="470">
        <f t="shared" si="2"/>
        <v>500000</v>
      </c>
      <c r="G40" s="470">
        <f t="shared" si="2"/>
        <v>0</v>
      </c>
      <c r="H40" s="476">
        <f t="shared" si="2"/>
        <v>0</v>
      </c>
    </row>
    <row r="41" spans="2:8" s="1" customFormat="1" ht="14.25" customHeight="1" x14ac:dyDescent="0.3">
      <c r="B41" s="637" t="s">
        <v>514</v>
      </c>
      <c r="C41" s="638"/>
      <c r="D41" s="462"/>
      <c r="E41" s="462"/>
      <c r="F41" s="462"/>
      <c r="G41" s="462"/>
      <c r="H41" s="475"/>
    </row>
    <row r="42" spans="2:8" s="1" customFormat="1" ht="14.25" customHeight="1" x14ac:dyDescent="0.3">
      <c r="B42" s="447"/>
      <c r="C42" s="447" t="str">
        <f>'3 STATEMENT '!D15</f>
        <v xml:space="preserve">Trademark </v>
      </c>
      <c r="D42" s="462">
        <f>'3 STATEMENT '!E15</f>
        <v>5000</v>
      </c>
      <c r="E42" s="462"/>
      <c r="F42" s="462"/>
      <c r="G42" s="462"/>
      <c r="H42" s="475"/>
    </row>
    <row r="43" spans="2:8" s="1" customFormat="1" ht="14.25" customHeight="1" x14ac:dyDescent="0.3">
      <c r="B43" s="447"/>
      <c r="C43" s="447" t="str">
        <f>'3 STATEMENT '!D16</f>
        <v xml:space="preserve">Copyright </v>
      </c>
      <c r="D43" s="462">
        <f>'3 STATEMENT '!E16</f>
        <v>7500</v>
      </c>
      <c r="E43" s="462"/>
      <c r="F43" s="462"/>
      <c r="G43" s="462"/>
      <c r="H43" s="475"/>
    </row>
    <row r="44" spans="2:8" s="1" customFormat="1" ht="14.25" customHeight="1" x14ac:dyDescent="0.3">
      <c r="B44" s="447"/>
      <c r="C44" s="447"/>
      <c r="D44" s="462"/>
      <c r="E44" s="462"/>
      <c r="F44" s="462"/>
      <c r="G44" s="462"/>
      <c r="H44" s="475"/>
    </row>
    <row r="45" spans="2:8" s="1" customFormat="1" ht="14.25" customHeight="1" x14ac:dyDescent="0.3">
      <c r="B45" s="447"/>
      <c r="C45" s="458" t="s">
        <v>425</v>
      </c>
      <c r="D45" s="470">
        <f>SUM(D41:D44)</f>
        <v>12500</v>
      </c>
      <c r="E45" s="470">
        <f t="shared" ref="E45:H45" si="3">SUM(E41:E44)</f>
        <v>0</v>
      </c>
      <c r="F45" s="470">
        <f t="shared" si="3"/>
        <v>0</v>
      </c>
      <c r="G45" s="470">
        <f t="shared" si="3"/>
        <v>0</v>
      </c>
      <c r="H45" s="476">
        <f t="shared" si="3"/>
        <v>0</v>
      </c>
    </row>
    <row r="46" spans="2:8" s="1" customFormat="1" ht="14.25" customHeight="1" x14ac:dyDescent="0.3">
      <c r="B46" s="639" t="s">
        <v>426</v>
      </c>
      <c r="C46" s="640"/>
      <c r="D46" s="467">
        <f>D45+D40+D35</f>
        <v>3955822.5</v>
      </c>
      <c r="E46" s="468">
        <f t="shared" ref="E46:H46" si="4">E45+E40+E35</f>
        <v>4005598.95</v>
      </c>
      <c r="F46" s="467">
        <f t="shared" si="4"/>
        <v>4195136.375</v>
      </c>
      <c r="G46" s="468">
        <f t="shared" si="4"/>
        <v>4272841.6500000004</v>
      </c>
      <c r="H46" s="469">
        <f t="shared" si="4"/>
        <v>4209841.6500000004</v>
      </c>
    </row>
    <row r="47" spans="2:8" s="1" customFormat="1" ht="14.25" customHeight="1" x14ac:dyDescent="0.3">
      <c r="B47" s="447"/>
      <c r="C47" s="447"/>
      <c r="D47" s="457"/>
      <c r="E47" s="457"/>
      <c r="F47" s="457"/>
      <c r="G47" s="457"/>
      <c r="H47" s="474"/>
    </row>
    <row r="48" spans="2:8" s="1" customFormat="1" ht="14.25" customHeight="1" x14ac:dyDescent="0.3">
      <c r="B48" s="646" t="s">
        <v>427</v>
      </c>
      <c r="C48" s="647"/>
      <c r="D48" s="470">
        <f>D22-D46</f>
        <v>899177.5</v>
      </c>
      <c r="E48" s="470">
        <f>E22-E46</f>
        <v>-200098.95000000019</v>
      </c>
      <c r="F48" s="470">
        <f>F22-F46</f>
        <v>-101036.375</v>
      </c>
      <c r="G48" s="470">
        <f>G22-G46</f>
        <v>214754.0999999987</v>
      </c>
      <c r="H48" s="476">
        <f>H22-H46</f>
        <v>800324.48624999821</v>
      </c>
    </row>
    <row r="49" spans="2:8" x14ac:dyDescent="0.3">
      <c r="B49" s="447"/>
      <c r="C49" s="447"/>
      <c r="D49" s="462"/>
      <c r="E49" s="462"/>
      <c r="F49" s="462"/>
      <c r="G49" s="462"/>
      <c r="H49" s="475"/>
    </row>
    <row r="50" spans="2:8" x14ac:dyDescent="0.3">
      <c r="B50" s="447" t="s">
        <v>428</v>
      </c>
      <c r="C50" s="447" t="s">
        <v>429</v>
      </c>
      <c r="D50" s="462">
        <f>0</f>
        <v>0</v>
      </c>
      <c r="E50" s="462">
        <f>D51</f>
        <v>899177.5</v>
      </c>
      <c r="F50" s="462">
        <f>E51</f>
        <v>699078.54999999981</v>
      </c>
      <c r="G50" s="462">
        <f>F51</f>
        <v>598042.17499999981</v>
      </c>
      <c r="H50" s="475">
        <f>G51</f>
        <v>812796.27499999851</v>
      </c>
    </row>
    <row r="51" spans="2:8" x14ac:dyDescent="0.3">
      <c r="B51" s="447" t="s">
        <v>430</v>
      </c>
      <c r="C51" s="447" t="s">
        <v>431</v>
      </c>
      <c r="D51" s="462">
        <f>'CASH BOOK'!L20</f>
        <v>899177.5</v>
      </c>
      <c r="E51" s="462">
        <f>'CASH BOOK'!M20</f>
        <v>699078.54999999981</v>
      </c>
      <c r="F51" s="462">
        <f>'CASH BOOK'!N20</f>
        <v>598042.17499999981</v>
      </c>
      <c r="G51" s="462">
        <f>'CASH BOOK'!O20</f>
        <v>812796.27499999851</v>
      </c>
      <c r="H51" s="475">
        <f>'CASH BOOK'!P20</f>
        <v>1613120.7612499967</v>
      </c>
    </row>
    <row r="52" spans="2:8" ht="15" thickBot="1" x14ac:dyDescent="0.35">
      <c r="B52" s="477"/>
      <c r="C52" s="477" t="s">
        <v>432</v>
      </c>
      <c r="D52" s="478">
        <f>D48+D50-D51</f>
        <v>0</v>
      </c>
      <c r="E52" s="478">
        <f t="shared" ref="E52:H52" si="5">E48+E50-E51</f>
        <v>0</v>
      </c>
      <c r="F52" s="478">
        <f t="shared" si="5"/>
        <v>0</v>
      </c>
      <c r="G52" s="478">
        <f t="shared" si="5"/>
        <v>0</v>
      </c>
      <c r="H52" s="479">
        <f t="shared" si="5"/>
        <v>0</v>
      </c>
    </row>
  </sheetData>
  <mergeCells count="11">
    <mergeCell ref="B25:C25"/>
    <mergeCell ref="B36:C36"/>
    <mergeCell ref="B41:C41"/>
    <mergeCell ref="B46:C46"/>
    <mergeCell ref="B48:C48"/>
    <mergeCell ref="B8:C8"/>
    <mergeCell ref="B12:C12"/>
    <mergeCell ref="B16:C16"/>
    <mergeCell ref="B22:C22"/>
    <mergeCell ref="B2:H2"/>
    <mergeCell ref="B4:C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CC0A3-B620-4C71-8FBF-CDF95C218A4A}">
  <dimension ref="B1:H39"/>
  <sheetViews>
    <sheetView zoomScale="148" zoomScaleNormal="130" workbookViewId="0"/>
  </sheetViews>
  <sheetFormatPr defaultColWidth="9.5546875" defaultRowHeight="13.8" x14ac:dyDescent="0.25"/>
  <cols>
    <col min="1" max="1" width="9.5546875" style="183"/>
    <col min="2" max="2" width="5.109375" style="183" customWidth="1"/>
    <col min="3" max="3" width="39.88671875" style="183" customWidth="1"/>
    <col min="4" max="4" width="16.77734375" style="455" customWidth="1"/>
    <col min="5" max="16384" width="9.5546875" style="183"/>
  </cols>
  <sheetData>
    <row r="1" spans="2:8" ht="14.4" thickBot="1" x14ac:dyDescent="0.3"/>
    <row r="2" spans="2:8" ht="22.5" customHeight="1" thickBot="1" x14ac:dyDescent="0.3">
      <c r="B2" s="641" t="s">
        <v>398</v>
      </c>
      <c r="C2" s="642"/>
      <c r="D2" s="643"/>
      <c r="E2" s="448"/>
      <c r="G2" s="241"/>
    </row>
    <row r="4" spans="2:8" x14ac:dyDescent="0.25">
      <c r="B4" s="453" t="s">
        <v>399</v>
      </c>
      <c r="C4" s="453"/>
      <c r="D4" s="456">
        <v>4000</v>
      </c>
      <c r="G4" s="449"/>
      <c r="H4" s="182"/>
    </row>
    <row r="5" spans="2:8" x14ac:dyDescent="0.25">
      <c r="B5" s="447"/>
      <c r="C5" s="447"/>
      <c r="D5" s="457"/>
    </row>
    <row r="6" spans="2:8" s="450" customFormat="1" ht="14.25" customHeight="1" x14ac:dyDescent="0.3">
      <c r="B6" s="453" t="s">
        <v>503</v>
      </c>
      <c r="C6" s="453"/>
      <c r="D6" s="463" t="s">
        <v>317</v>
      </c>
    </row>
    <row r="7" spans="2:8" s="450" customFormat="1" ht="14.25" customHeight="1" x14ac:dyDescent="0.3">
      <c r="B7" s="457"/>
      <c r="C7" s="457"/>
      <c r="D7" s="457"/>
    </row>
    <row r="8" spans="2:8" s="450" customFormat="1" ht="14.25" customHeight="1" x14ac:dyDescent="0.25">
      <c r="B8" s="447"/>
      <c r="C8" s="447" t="str">
        <f>'3 STATEMENT '!D13</f>
        <v xml:space="preserve">Selling cost </v>
      </c>
      <c r="D8" s="462">
        <v>516600</v>
      </c>
      <c r="G8" s="451"/>
    </row>
    <row r="9" spans="2:8" s="450" customFormat="1" ht="14.25" customHeight="1" x14ac:dyDescent="0.25">
      <c r="B9" s="447"/>
      <c r="C9" s="447" t="str">
        <f>'3 STATEMENT '!D15</f>
        <v xml:space="preserve">Trademark </v>
      </c>
      <c r="D9" s="462">
        <v>75000</v>
      </c>
      <c r="G9" s="451"/>
    </row>
    <row r="10" spans="2:8" s="450" customFormat="1" ht="14.25" customHeight="1" x14ac:dyDescent="0.25">
      <c r="B10" s="447"/>
      <c r="C10" s="447" t="str">
        <f>'3 STATEMENT '!D16</f>
        <v xml:space="preserve">Copyright </v>
      </c>
      <c r="D10" s="462">
        <v>5000</v>
      </c>
      <c r="G10" s="451"/>
    </row>
    <row r="11" spans="2:8" s="450" customFormat="1" ht="14.25" customHeight="1" x14ac:dyDescent="0.25">
      <c r="B11" s="447"/>
      <c r="C11" s="447" t="str">
        <f>'3 STATEMENT '!D12</f>
        <v xml:space="preserve">Advertisment </v>
      </c>
      <c r="D11" s="462">
        <v>7500</v>
      </c>
      <c r="G11" s="451"/>
    </row>
    <row r="12" spans="2:8" s="450" customFormat="1" ht="14.25" customHeight="1" x14ac:dyDescent="0.25">
      <c r="B12" s="447"/>
      <c r="C12" s="447" t="str">
        <f>'3 STATEMENT '!D10</f>
        <v xml:space="preserve">Rent </v>
      </c>
      <c r="D12" s="462">
        <v>188372.5</v>
      </c>
      <c r="G12" s="451"/>
    </row>
    <row r="13" spans="2:8" s="450" customFormat="1" ht="14.25" customHeight="1" x14ac:dyDescent="0.3">
      <c r="B13" s="447"/>
      <c r="C13" s="447"/>
      <c r="D13" s="462"/>
    </row>
    <row r="14" spans="2:8" s="450" customFormat="1" ht="14.25" customHeight="1" x14ac:dyDescent="0.3">
      <c r="B14" s="454" t="s">
        <v>400</v>
      </c>
      <c r="C14" s="454"/>
      <c r="D14" s="464">
        <v>792472.5</v>
      </c>
      <c r="G14" s="452"/>
    </row>
    <row r="15" spans="2:8" s="450" customFormat="1" ht="14.25" customHeight="1" x14ac:dyDescent="0.3">
      <c r="B15" s="447"/>
      <c r="C15" s="447"/>
      <c r="D15" s="457"/>
    </row>
    <row r="16" spans="2:8" s="450" customFormat="1" ht="14.25" customHeight="1" x14ac:dyDescent="0.3">
      <c r="B16" s="453" t="s">
        <v>504</v>
      </c>
      <c r="C16" s="453"/>
      <c r="D16" s="463"/>
    </row>
    <row r="17" spans="2:8" s="450" customFormat="1" ht="14.25" customHeight="1" x14ac:dyDescent="0.3">
      <c r="B17" s="457"/>
      <c r="C17" s="457"/>
      <c r="D17" s="457"/>
    </row>
    <row r="18" spans="2:8" s="450" customFormat="1" ht="14.25" customHeight="1" x14ac:dyDescent="0.3">
      <c r="B18" s="648" t="s">
        <v>506</v>
      </c>
      <c r="C18" s="649"/>
      <c r="D18" s="457"/>
    </row>
    <row r="19" spans="2:8" s="450" customFormat="1" ht="14.25" customHeight="1" x14ac:dyDescent="0.3">
      <c r="B19" s="458"/>
      <c r="C19" s="447" t="str">
        <f>'3 STATEMENT '!D7</f>
        <v xml:space="preserve">Raw material </v>
      </c>
      <c r="D19" s="461">
        <f>'3 STATEMENT '!E7/1000</f>
        <v>2025.75</v>
      </c>
      <c r="G19" s="452"/>
    </row>
    <row r="20" spans="2:8" s="450" customFormat="1" ht="14.25" customHeight="1" x14ac:dyDescent="0.3">
      <c r="B20" s="458"/>
      <c r="C20" s="447" t="str">
        <f>'3 STATEMENT '!D8</f>
        <v xml:space="preserve">Carriage inward </v>
      </c>
      <c r="D20" s="461">
        <f>'3 STATEMENT '!E8/1000</f>
        <v>36</v>
      </c>
      <c r="G20" s="452"/>
    </row>
    <row r="21" spans="2:8" s="450" customFormat="1" ht="14.25" customHeight="1" x14ac:dyDescent="0.3">
      <c r="B21" s="458"/>
      <c r="C21" s="447" t="str">
        <f>'3 STATEMENT '!D9</f>
        <v xml:space="preserve">Manufacturing </v>
      </c>
      <c r="D21" s="461">
        <f>'3 STATEMENT '!E9/1000</f>
        <v>340</v>
      </c>
      <c r="G21" s="452"/>
    </row>
    <row r="22" spans="2:8" s="450" customFormat="1" ht="14.25" customHeight="1" x14ac:dyDescent="0.3">
      <c r="B22" s="458"/>
      <c r="C22" s="447" t="str">
        <f>'3 STATEMENT '!D17</f>
        <v xml:space="preserve">Misc. </v>
      </c>
      <c r="D22" s="461">
        <f>'3 STATEMENT '!E10/1000</f>
        <v>272</v>
      </c>
      <c r="G22" s="452"/>
    </row>
    <row r="23" spans="2:8" s="450" customFormat="1" ht="14.25" customHeight="1" x14ac:dyDescent="0.3">
      <c r="B23" s="637" t="s">
        <v>505</v>
      </c>
      <c r="C23" s="638"/>
      <c r="D23" s="465">
        <f>SUM(D19:D22)</f>
        <v>2673.75</v>
      </c>
      <c r="E23"/>
      <c r="G23" s="452"/>
      <c r="H23" s="452"/>
    </row>
    <row r="24" spans="2:8" s="450" customFormat="1" ht="14.25" customHeight="1" x14ac:dyDescent="0.3">
      <c r="B24" s="447"/>
      <c r="C24" s="447"/>
      <c r="D24" s="457"/>
    </row>
    <row r="25" spans="2:8" s="450" customFormat="1" ht="14.25" customHeight="1" x14ac:dyDescent="0.3">
      <c r="B25" s="447"/>
      <c r="C25" s="447"/>
      <c r="D25" s="457"/>
    </row>
    <row r="26" spans="2:8" s="450" customFormat="1" ht="14.25" customHeight="1" x14ac:dyDescent="0.3">
      <c r="B26" s="458" t="s">
        <v>509</v>
      </c>
      <c r="C26" s="447"/>
      <c r="D26" s="460">
        <f>D23</f>
        <v>2673.75</v>
      </c>
    </row>
    <row r="27" spans="2:8" s="450" customFormat="1" ht="14.25" customHeight="1" x14ac:dyDescent="0.3">
      <c r="B27" s="447"/>
      <c r="C27" s="447" t="s">
        <v>401</v>
      </c>
      <c r="D27" s="460">
        <f>D4-D26</f>
        <v>1326.25</v>
      </c>
    </row>
    <row r="28" spans="2:8" s="450" customFormat="1" ht="14.25" customHeight="1" x14ac:dyDescent="0.3">
      <c r="B28" s="447"/>
      <c r="C28" s="447" t="s">
        <v>402</v>
      </c>
      <c r="D28" s="460">
        <f>D27/D4</f>
        <v>0.33156249999999998</v>
      </c>
    </row>
    <row r="29" spans="2:8" s="450" customFormat="1" ht="14.25" customHeight="1" x14ac:dyDescent="0.3">
      <c r="B29" s="447"/>
      <c r="C29" s="447"/>
      <c r="D29" s="457"/>
    </row>
    <row r="30" spans="2:8" s="450" customFormat="1" ht="14.25" customHeight="1" x14ac:dyDescent="0.3">
      <c r="B30" s="652" t="s">
        <v>507</v>
      </c>
      <c r="C30" s="653"/>
      <c r="D30" s="457"/>
    </row>
    <row r="31" spans="2:8" ht="13.8" customHeight="1" x14ac:dyDescent="0.3">
      <c r="B31" s="650" t="s">
        <v>403</v>
      </c>
      <c r="C31" s="651"/>
      <c r="D31" s="459">
        <f>D14/D27</f>
        <v>597.52874646559849</v>
      </c>
      <c r="E31"/>
    </row>
    <row r="32" spans="2:8" ht="14.4" x14ac:dyDescent="0.3">
      <c r="B32" s="650" t="s">
        <v>508</v>
      </c>
      <c r="C32" s="651"/>
      <c r="D32" s="459">
        <f>D14/D28</f>
        <v>2390114.9858623939</v>
      </c>
      <c r="E32"/>
    </row>
    <row r="39" spans="2:3" ht="14.4" customHeight="1" x14ac:dyDescent="0.3">
      <c r="B39" s="604"/>
      <c r="C39" s="604"/>
    </row>
  </sheetData>
  <dataConsolidate/>
  <mergeCells count="7">
    <mergeCell ref="B2:D2"/>
    <mergeCell ref="B39:C39"/>
    <mergeCell ref="B18:C18"/>
    <mergeCell ref="B23:C23"/>
    <mergeCell ref="B32:C32"/>
    <mergeCell ref="B31:C31"/>
    <mergeCell ref="B30:C3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22E45-E1D8-48C0-8A00-AC1646931F0B}">
  <dimension ref="C1:N20"/>
  <sheetViews>
    <sheetView topLeftCell="A2" zoomScale="72" zoomScaleNormal="115" workbookViewId="0">
      <selection activeCell="C18" sqref="C18"/>
    </sheetView>
  </sheetViews>
  <sheetFormatPr defaultColWidth="13.88671875" defaultRowHeight="25.2" customHeight="1" x14ac:dyDescent="0.3"/>
  <cols>
    <col min="3" max="3" width="35.33203125" bestFit="1" customWidth="1"/>
    <col min="4" max="8" width="20.44140625" customWidth="1"/>
    <col min="14" max="14" width="22.21875" bestFit="1" customWidth="1"/>
  </cols>
  <sheetData>
    <row r="1" spans="3:14" ht="25.2" customHeight="1" thickBot="1" x14ac:dyDescent="0.35"/>
    <row r="2" spans="3:14" ht="25.2" customHeight="1" thickBot="1" x14ac:dyDescent="0.35">
      <c r="C2" s="628" t="s">
        <v>492</v>
      </c>
      <c r="D2" s="629"/>
      <c r="E2" s="629"/>
      <c r="F2" s="629"/>
      <c r="G2" s="629"/>
      <c r="H2" s="630"/>
    </row>
    <row r="3" spans="3:14" ht="25.2" customHeight="1" thickBot="1" x14ac:dyDescent="0.35">
      <c r="H3" s="183"/>
    </row>
    <row r="4" spans="3:14" ht="25.2" customHeight="1" thickBot="1" x14ac:dyDescent="0.35">
      <c r="C4" s="313" t="s">
        <v>313</v>
      </c>
      <c r="D4" s="314" t="s">
        <v>289</v>
      </c>
      <c r="E4" s="314" t="s">
        <v>290</v>
      </c>
      <c r="F4" s="314" t="s">
        <v>295</v>
      </c>
      <c r="G4" s="314" t="s">
        <v>292</v>
      </c>
      <c r="H4" s="314" t="s">
        <v>296</v>
      </c>
    </row>
    <row r="5" spans="3:14" ht="25.2" customHeight="1" x14ac:dyDescent="0.3">
      <c r="C5" s="311"/>
      <c r="D5" s="311"/>
      <c r="E5" s="311"/>
      <c r="F5" s="311"/>
      <c r="G5" s="311"/>
      <c r="H5" s="311"/>
    </row>
    <row r="6" spans="3:14" ht="37.799999999999997" customHeight="1" x14ac:dyDescent="0.3">
      <c r="C6" s="310" t="s">
        <v>389</v>
      </c>
      <c r="D6" s="311" t="e">
        <f>'BALANCE SHEET '!C41/'BALANCE SHEET '!C23</f>
        <v>#DIV/0!</v>
      </c>
      <c r="E6" s="444">
        <f>'BALANCE SHEET '!D41/'BALANCE SHEET '!D23</f>
        <v>15.626044409275492</v>
      </c>
      <c r="F6" s="311" t="e">
        <f>'BALANCE SHEET '!E41/'BALANCE SHEET '!E23</f>
        <v>#DIV/0!</v>
      </c>
      <c r="G6" s="311" t="e">
        <f>'BALANCE SHEET '!F41/'BALANCE SHEET '!F23</f>
        <v>#DIV/0!</v>
      </c>
      <c r="H6" s="311" t="e">
        <f>'BALANCE SHEET '!G41/'BALANCE SHEET '!G23</f>
        <v>#DIV/0!</v>
      </c>
    </row>
    <row r="7" spans="3:14" ht="37.799999999999997" customHeight="1" x14ac:dyDescent="0.3">
      <c r="C7" s="310" t="s">
        <v>390</v>
      </c>
      <c r="D7" s="444">
        <f>'BALANCE SHEET '!C25/'BALANCE SHEET '!C18</f>
        <v>0.72987106827578907</v>
      </c>
      <c r="E7" s="444">
        <f>'BALANCE SHEET '!D25/'BALANCE SHEET '!D18</f>
        <v>0.66545933039101901</v>
      </c>
      <c r="F7" s="311">
        <f>'BALANCE SHEET '!E25/'BALANCE SHEET '!E18</f>
        <v>0</v>
      </c>
      <c r="G7" s="311">
        <f>'BALANCE SHEET '!F25/'BALANCE SHEET '!F18</f>
        <v>0</v>
      </c>
      <c r="H7" s="311">
        <f>'BALANCE SHEET '!G25/'BALANCE SHEET '!G18</f>
        <v>0</v>
      </c>
      <c r="N7" s="489"/>
    </row>
    <row r="8" spans="3:14" ht="37.799999999999997" customHeight="1" x14ac:dyDescent="0.3">
      <c r="C8" s="310" t="s">
        <v>391</v>
      </c>
      <c r="D8" s="444">
        <f>'BALANCE SHEET '!C20/'BALANCE SHEET '!C43</f>
        <v>0.42192223551277264</v>
      </c>
      <c r="E8" s="444">
        <f>'BALANCE SHEET '!D20/'BALANCE SHEET '!D43</f>
        <v>0.33610705681973829</v>
      </c>
      <c r="F8" s="311">
        <f>'BALANCE SHEET '!E20/'BALANCE SHEET '!E43</f>
        <v>0</v>
      </c>
      <c r="G8" s="311">
        <f>'BALANCE SHEET '!F20/'BALANCE SHEET '!F43</f>
        <v>0</v>
      </c>
      <c r="H8" s="311">
        <f>'BALANCE SHEET '!G20/'BALANCE SHEET '!G43</f>
        <v>0</v>
      </c>
    </row>
    <row r="9" spans="3:14" ht="37.799999999999997" customHeight="1" x14ac:dyDescent="0.3">
      <c r="C9" s="310" t="s">
        <v>530</v>
      </c>
      <c r="D9" s="443">
        <f>'INCOME STATEMENT '!C27/'INCOME STATEMENT '!C8</f>
        <v>-2.1513194444444446E-2</v>
      </c>
      <c r="E9" s="443">
        <f>'INCOME STATEMENT '!D27/'INCOME STATEMENT '!D8</f>
        <v>7.9665284360189575E-2</v>
      </c>
      <c r="F9" s="443">
        <f>'INCOME STATEMENT '!E27/'INCOME STATEMENT '!E8</f>
        <v>0.18155227353441841</v>
      </c>
      <c r="G9" s="443">
        <f>'INCOME STATEMENT '!F27/'INCOME STATEMENT '!F8</f>
        <v>0.17382312758705235</v>
      </c>
      <c r="H9" s="443">
        <f>'INCOME STATEMENT '!G27/'INCOME STATEMENT '!G8</f>
        <v>0.24888662906660386</v>
      </c>
    </row>
    <row r="10" spans="3:14" ht="37.799999999999997" customHeight="1" x14ac:dyDescent="0.3">
      <c r="C10" s="310" t="s">
        <v>531</v>
      </c>
      <c r="D10" s="443">
        <f>'INCOME STATEMENT '!C30/'INCOME STATEMENT '!C8</f>
        <v>-2.1513194444444446E-2</v>
      </c>
      <c r="E10" s="443">
        <f>'INCOME STATEMENT '!D30/'INCOME STATEMENT '!D8</f>
        <v>5.4809715639810422E-2</v>
      </c>
      <c r="F10" s="443">
        <f>'INCOME STATEMENT '!E30/'INCOME STATEMENT '!E8</f>
        <v>0.18155227353441841</v>
      </c>
      <c r="G10" s="443">
        <f>'INCOME STATEMENT '!F30/'INCOME STATEMENT '!F8</f>
        <v>0.17382312758705235</v>
      </c>
      <c r="H10" s="443">
        <f>'INCOME STATEMENT '!G30/'INCOME STATEMENT '!G8</f>
        <v>0.24888662906660386</v>
      </c>
    </row>
    <row r="11" spans="3:14" ht="37.799999999999997" customHeight="1" x14ac:dyDescent="0.3">
      <c r="C11" s="310" t="s">
        <v>392</v>
      </c>
      <c r="D11" s="443">
        <f>'INCOME STATEMENT '!C30/'BALANCE SHEET '!C18</f>
        <v>-0.11305337912057835</v>
      </c>
      <c r="E11" s="443">
        <f>'INCOME STATEMENT '!D30/'BALANCE SHEET '!D18</f>
        <v>0.23305271558019647</v>
      </c>
      <c r="F11" s="443">
        <f>'INCOME STATEMENT '!E30/'BALANCE SHEET '!E18</f>
        <v>0.45351121357038876</v>
      </c>
      <c r="G11" s="443">
        <f>'INCOME STATEMENT '!F30/'BALANCE SHEET '!F18</f>
        <v>0.3222422641957175</v>
      </c>
      <c r="H11" s="443">
        <f>'INCOME STATEMENT '!G30/'BALANCE SHEET '!G18</f>
        <v>0.33969851457702332</v>
      </c>
    </row>
    <row r="12" spans="3:14" ht="37.799999999999997" customHeight="1" x14ac:dyDescent="0.3">
      <c r="C12" s="310" t="s">
        <v>499</v>
      </c>
      <c r="D12" s="443">
        <f>'INCOME STATEMENT '!C30/'BALANCE SHEET '!C43</f>
        <v>-6.5353644669750924E-2</v>
      </c>
      <c r="E12" s="443">
        <f>'INCOME STATEMENT '!D30/'BALANCE SHEET '!D43</f>
        <v>0.13993299705822299</v>
      </c>
      <c r="F12" s="443">
        <f>'INCOME STATEMENT '!E30/'BALANCE SHEET '!E43</f>
        <v>0.45351121357038887</v>
      </c>
      <c r="G12" s="443">
        <f>'INCOME STATEMENT '!F30/'BALANCE SHEET '!F43</f>
        <v>0.32224226419571755</v>
      </c>
      <c r="H12" s="443">
        <f>'INCOME STATEMENT '!G30/'BALANCE SHEET '!G43</f>
        <v>0.33969851457702338</v>
      </c>
    </row>
    <row r="13" spans="3:14" ht="37.799999999999997" customHeight="1" x14ac:dyDescent="0.3">
      <c r="C13" s="310" t="s">
        <v>393</v>
      </c>
      <c r="D13" s="443">
        <f>'INCOME STATEMENT '!C27/('BALANCE SHEET '!C43-'BALANCE SHEET '!C23)</f>
        <v>-6.5353644669750924E-2</v>
      </c>
      <c r="E13" s="443">
        <f>'INCOME STATEMENT '!D27/('BALANCE SHEET '!D43-'BALANCE SHEET '!D23)</f>
        <v>0.21717230116884648</v>
      </c>
      <c r="F13" s="443">
        <f>'INCOME STATEMENT '!E27/('BALANCE SHEET '!E43-'BALANCE SHEET '!E23)</f>
        <v>0.45351121357038887</v>
      </c>
      <c r="G13" s="443">
        <f>'INCOME STATEMENT '!F27/('BALANCE SHEET '!F43-'BALANCE SHEET '!F23)</f>
        <v>0.32224226419571755</v>
      </c>
      <c r="H13" s="443">
        <f>'INCOME STATEMENT '!G27/('BALANCE SHEET '!G43-'BALANCE SHEET '!G23)</f>
        <v>0.33969851457702338</v>
      </c>
    </row>
    <row r="14" spans="3:14" ht="37.799999999999997" customHeight="1" x14ac:dyDescent="0.3">
      <c r="C14" s="310" t="s">
        <v>500</v>
      </c>
      <c r="D14" s="442">
        <f>'BALANCE SHEET '!C18/'BALANCE SHEET '!C43</f>
        <v>0.57807776448722736</v>
      </c>
      <c r="E14" s="442">
        <f>'BALANCE SHEET '!D18/'BALANCE SHEET '!D43</f>
        <v>0.60043495614223052</v>
      </c>
      <c r="F14" s="442">
        <f>'BALANCE SHEET '!E18/'BALANCE SHEET '!E43</f>
        <v>1.0000000000000002</v>
      </c>
      <c r="G14" s="442">
        <f>'BALANCE SHEET '!F18/'BALANCE SHEET '!F43</f>
        <v>1.0000000000000002</v>
      </c>
      <c r="H14" s="442">
        <f>'BALANCE SHEET '!G18/'BALANCE SHEET '!G43</f>
        <v>1.0000000000000002</v>
      </c>
    </row>
    <row r="15" spans="3:14" ht="37.799999999999997" customHeight="1" x14ac:dyDescent="0.3">
      <c r="C15" s="310" t="s">
        <v>394</v>
      </c>
      <c r="D15" s="444">
        <f>'INCOME STATEMENT '!C25/'INCOME STATEMENT '!C26</f>
        <v>-3.2633333333333334E-2</v>
      </c>
      <c r="E15" s="444">
        <f>'INCOME STATEMENT '!D25/'INCOME STATEMENT '!D26</f>
        <v>5.0342500000000001</v>
      </c>
      <c r="F15" s="311" t="e">
        <f>'INCOME STATEMENT '!E25/'INCOME STATEMENT '!E26</f>
        <v>#DIV/0!</v>
      </c>
      <c r="G15" s="311" t="e">
        <f>'INCOME STATEMENT '!F25/'INCOME STATEMENT '!F26</f>
        <v>#DIV/0!</v>
      </c>
      <c r="H15" s="311" t="e">
        <f>'INCOME STATEMENT '!G25/'INCOME STATEMENT '!G26</f>
        <v>#DIV/0!</v>
      </c>
    </row>
    <row r="16" spans="3:14" ht="37.799999999999997" customHeight="1" x14ac:dyDescent="0.3">
      <c r="C16" s="310" t="s">
        <v>395</v>
      </c>
      <c r="D16" s="444">
        <f>D11/D12</f>
        <v>1.729871068275789</v>
      </c>
      <c r="E16" s="444">
        <f t="shared" ref="E16:H16" si="0">E11/E12</f>
        <v>1.6654593303910188</v>
      </c>
      <c r="F16" s="311">
        <f t="shared" si="0"/>
        <v>0.99999999999999978</v>
      </c>
      <c r="G16" s="311">
        <f t="shared" si="0"/>
        <v>0.99999999999999978</v>
      </c>
      <c r="H16" s="311">
        <f t="shared" si="0"/>
        <v>0.99999999999999989</v>
      </c>
    </row>
    <row r="17" spans="3:8" ht="37.799999999999997" customHeight="1" x14ac:dyDescent="0.3">
      <c r="C17" s="310" t="s">
        <v>396</v>
      </c>
      <c r="D17" s="445" t="e">
        <f>'BALANCE SHEET '!C38/'BALANCE SHEET '!C23</f>
        <v>#DIV/0!</v>
      </c>
      <c r="E17" s="444">
        <f>'BALANCE SHEET '!D38/'BALANCE SHEET '!D23</f>
        <v>7.4053793665245591</v>
      </c>
      <c r="F17" s="311" t="e">
        <f>'BALANCE SHEET '!E38/'BALANCE SHEET '!E23</f>
        <v>#DIV/0!</v>
      </c>
      <c r="G17" s="311" t="e">
        <f>'BALANCE SHEET '!F38/'BALANCE SHEET '!F23</f>
        <v>#DIV/0!</v>
      </c>
      <c r="H17" s="311" t="e">
        <f>'BALANCE SHEET '!G38/'BALANCE SHEET '!G23</f>
        <v>#DIV/0!</v>
      </c>
    </row>
    <row r="18" spans="3:8" ht="37.799999999999997" customHeight="1" x14ac:dyDescent="0.3">
      <c r="C18" s="310" t="s">
        <v>397</v>
      </c>
      <c r="D18" s="444">
        <f>'BALANCE SHEET '!C39/('BALANCE SHEET '!C41-'BALANCE SHEET '!C23)</f>
        <v>0.23314521098202426</v>
      </c>
      <c r="E18" s="444">
        <f>'BALANCE SHEET '!D39/('BALANCE SHEET '!D41-'BALANCE SHEET '!D23)</f>
        <v>0.4936854313235749</v>
      </c>
      <c r="F18" s="444">
        <f>'BALANCE SHEET '!E39/('BALANCE SHEET '!E41-'BALANCE SHEET '!E23)</f>
        <v>0.63128665102108827</v>
      </c>
      <c r="G18" s="444">
        <f>'BALANCE SHEET '!F39/('BALANCE SHEET '!F41-'BALANCE SHEET '!F23)</f>
        <v>0.66120574316307934</v>
      </c>
      <c r="H18" s="444">
        <f>'BALANCE SHEET '!G39/('BALANCE SHEET '!G41-'BALANCE SHEET '!G23)</f>
        <v>0.5568043436956287</v>
      </c>
    </row>
    <row r="19" spans="3:8" ht="37.799999999999997" customHeight="1" x14ac:dyDescent="0.3">
      <c r="C19" s="310" t="s">
        <v>502</v>
      </c>
      <c r="D19" s="443">
        <f>('COST SHEET '!I34-'COST SHEET '!I32)/('COST SHEET '!I34)</f>
        <v>5.3729166666666668E-2</v>
      </c>
      <c r="E19" s="443">
        <f>('COST SHEET '!M34-'COST SHEET '!M32)/'COST SHEET '!M34</f>
        <v>7.5062500000000004E-2</v>
      </c>
      <c r="F19" s="443">
        <f>('COST SHEET '!Q34-'COST SHEET '!Q32)/'COST SHEET '!Q34</f>
        <v>0.1247624810235064</v>
      </c>
      <c r="G19" s="443">
        <f>('COST SHEET '!U34-'COST SHEET '!U32)/'COST SHEET '!U34</f>
        <v>0.21578433884913539</v>
      </c>
      <c r="H19" s="443">
        <f>('COST SHEET '!Y34-'COST SHEET '!Y32)/'COST SHEET '!Y34</f>
        <v>0.28390167168271802</v>
      </c>
    </row>
    <row r="20" spans="3:8" ht="37.799999999999997" customHeight="1" x14ac:dyDescent="0.3">
      <c r="C20" s="310" t="s">
        <v>501</v>
      </c>
      <c r="D20" s="443">
        <f>'INCOME STATEMENT '!C30/'INCOME STATEMENT '!C8</f>
        <v>-2.1513194444444446E-2</v>
      </c>
      <c r="E20" s="443">
        <f>'INCOME STATEMENT '!D30/'INCOME STATEMENT '!D8</f>
        <v>5.4809715639810422E-2</v>
      </c>
      <c r="F20" s="443">
        <f>'INCOME STATEMENT '!E30/'INCOME STATEMENT '!E8</f>
        <v>0.18155227353441841</v>
      </c>
      <c r="G20" s="443">
        <f>'INCOME STATEMENT '!F30/'INCOME STATEMENT '!F8</f>
        <v>0.17382312758705235</v>
      </c>
      <c r="H20" s="443">
        <f>'INCOME STATEMENT '!G30/'INCOME STATEMENT '!G8</f>
        <v>0.24888662906660386</v>
      </c>
    </row>
  </sheetData>
  <mergeCells count="1">
    <mergeCell ref="C2:H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A0606-9A4B-4F56-8F0C-97E0219B7405}">
  <dimension ref="D2:I8"/>
  <sheetViews>
    <sheetView zoomScale="141" workbookViewId="0"/>
  </sheetViews>
  <sheetFormatPr defaultRowHeight="14.4" x14ac:dyDescent="0.3"/>
  <cols>
    <col min="4" max="4" width="18.77734375" bestFit="1" customWidth="1"/>
  </cols>
  <sheetData>
    <row r="2" spans="4:9" ht="15" thickBot="1" x14ac:dyDescent="0.35"/>
    <row r="3" spans="4:9" ht="16.2" thickBot="1" x14ac:dyDescent="0.35">
      <c r="D3" s="654" t="s">
        <v>455</v>
      </c>
      <c r="E3" s="655"/>
      <c r="F3" s="655"/>
      <c r="G3" s="655"/>
      <c r="H3" s="655"/>
      <c r="I3" s="656"/>
    </row>
    <row r="4" spans="4:9" ht="16.8" x14ac:dyDescent="0.3">
      <c r="D4" s="282" t="s">
        <v>313</v>
      </c>
      <c r="E4" s="281" t="s">
        <v>294</v>
      </c>
      <c r="F4" s="281" t="s">
        <v>290</v>
      </c>
      <c r="G4" s="281" t="s">
        <v>295</v>
      </c>
      <c r="H4" s="288" t="s">
        <v>297</v>
      </c>
      <c r="I4" s="289" t="s">
        <v>298</v>
      </c>
    </row>
    <row r="5" spans="4:9" x14ac:dyDescent="0.3">
      <c r="D5" s="248" t="s">
        <v>454</v>
      </c>
      <c r="E5" s="280">
        <v>0</v>
      </c>
      <c r="F5" s="280">
        <f>E8</f>
        <v>100</v>
      </c>
      <c r="G5" s="280">
        <f>F8</f>
        <v>150.5</v>
      </c>
      <c r="H5" s="280">
        <f>G8</f>
        <v>129.78750000000002</v>
      </c>
      <c r="I5" s="283">
        <f>H8</f>
        <v>212.10731250000015</v>
      </c>
    </row>
    <row r="6" spans="4:9" x14ac:dyDescent="0.3">
      <c r="D6" s="248" t="s">
        <v>453</v>
      </c>
      <c r="E6" s="280">
        <v>1000</v>
      </c>
      <c r="F6" s="280">
        <v>1000</v>
      </c>
      <c r="G6" s="280">
        <v>1000</v>
      </c>
      <c r="H6" s="280">
        <v>1200</v>
      </c>
      <c r="I6" s="283">
        <v>1200</v>
      </c>
    </row>
    <row r="7" spans="4:9" x14ac:dyDescent="0.3">
      <c r="D7" s="248" t="s">
        <v>452</v>
      </c>
      <c r="E7" s="280">
        <v>900</v>
      </c>
      <c r="F7" s="280">
        <v>949.5</v>
      </c>
      <c r="G7" s="280">
        <v>1020.7125</v>
      </c>
      <c r="H7" s="280">
        <v>1117.6801874999999</v>
      </c>
      <c r="I7" s="283">
        <v>1246.2134090624997</v>
      </c>
    </row>
    <row r="8" spans="4:9" ht="15" thickBot="1" x14ac:dyDescent="0.35">
      <c r="D8" s="284" t="s">
        <v>356</v>
      </c>
      <c r="E8" s="285">
        <f>E6-E7+E5</f>
        <v>100</v>
      </c>
      <c r="F8" s="285">
        <f>F6-F7+F5</f>
        <v>150.5</v>
      </c>
      <c r="G8" s="285">
        <f>G6-G7+G5</f>
        <v>129.78750000000002</v>
      </c>
      <c r="H8" s="285">
        <f>H6-H7+H5</f>
        <v>212.10731250000015</v>
      </c>
      <c r="I8" s="286">
        <f>I6-I7+I5</f>
        <v>165.8939034375004</v>
      </c>
    </row>
  </sheetData>
  <mergeCells count="1">
    <mergeCell ref="D3:I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0ED17-4A97-4097-B25E-80BC9353DC46}">
  <dimension ref="C3:AD28"/>
  <sheetViews>
    <sheetView zoomScale="89" zoomScaleNormal="55" workbookViewId="0">
      <selection activeCell="F12" sqref="F12"/>
    </sheetView>
  </sheetViews>
  <sheetFormatPr defaultRowHeight="14.4" x14ac:dyDescent="0.3"/>
  <cols>
    <col min="3" max="3" width="8.88671875" customWidth="1"/>
    <col min="4" max="4" width="33.21875" customWidth="1"/>
    <col min="5" max="5" width="15" customWidth="1"/>
    <col min="6" max="6" width="13.44140625" bestFit="1" customWidth="1"/>
    <col min="7" max="9" width="12.88671875" bestFit="1" customWidth="1"/>
    <col min="11" max="11" width="38.88671875" customWidth="1"/>
    <col min="12" max="12" width="15.44140625" style="166" customWidth="1"/>
    <col min="13" max="16" width="13.44140625" style="166" bestFit="1" customWidth="1"/>
    <col min="18" max="18" width="41.5546875" customWidth="1"/>
    <col min="19" max="19" width="13.88671875" style="166" bestFit="1" customWidth="1"/>
    <col min="20" max="20" width="13.44140625" style="166" bestFit="1" customWidth="1"/>
    <col min="21" max="23" width="12.88671875" style="166" bestFit="1" customWidth="1"/>
    <col min="24" max="24" width="39.5546875" customWidth="1"/>
    <col min="25" max="25" width="13.88671875" bestFit="1" customWidth="1"/>
    <col min="26" max="26" width="13.44140625" bestFit="1" customWidth="1"/>
    <col min="27" max="30" width="12.77734375" customWidth="1"/>
    <col min="34" max="34" width="23.6640625" customWidth="1"/>
    <col min="35" max="35" width="13.88671875" bestFit="1" customWidth="1"/>
    <col min="36" max="39" width="13.44140625" bestFit="1" customWidth="1"/>
    <col min="41" max="41" width="38.88671875" customWidth="1"/>
    <col min="42" max="42" width="13.5546875" bestFit="1" customWidth="1"/>
    <col min="43" max="43" width="13.44140625" bestFit="1" customWidth="1"/>
    <col min="44" max="46" width="12.77734375" bestFit="1" customWidth="1"/>
  </cols>
  <sheetData>
    <row r="3" spans="3:30" ht="15" thickBot="1" x14ac:dyDescent="0.35"/>
    <row r="4" spans="3:30" ht="15" thickBot="1" x14ac:dyDescent="0.35">
      <c r="C4" s="657" t="s">
        <v>433</v>
      </c>
      <c r="D4" s="658"/>
      <c r="E4" s="658"/>
      <c r="F4" s="658"/>
      <c r="G4" s="658"/>
      <c r="H4" s="658"/>
      <c r="I4" s="658"/>
      <c r="J4" s="658"/>
      <c r="K4" s="658"/>
      <c r="L4" s="658"/>
      <c r="M4" s="658"/>
      <c r="N4" s="658"/>
      <c r="O4" s="658"/>
      <c r="P4" s="659"/>
      <c r="R4" s="660" t="s">
        <v>434</v>
      </c>
      <c r="S4" s="661"/>
      <c r="T4" s="661"/>
      <c r="U4" s="661"/>
      <c r="V4" s="661"/>
      <c r="W4" s="661"/>
      <c r="X4" s="661"/>
      <c r="Y4" s="661"/>
      <c r="Z4" s="661"/>
      <c r="AA4" s="661"/>
      <c r="AB4" s="661"/>
      <c r="AC4" s="662"/>
      <c r="AD4" s="10"/>
    </row>
    <row r="5" spans="3:30" x14ac:dyDescent="0.3">
      <c r="C5" s="130" t="s">
        <v>357</v>
      </c>
      <c r="D5" s="131" t="s">
        <v>313</v>
      </c>
      <c r="E5" s="131" t="s">
        <v>289</v>
      </c>
      <c r="F5" s="131" t="s">
        <v>314</v>
      </c>
      <c r="G5" s="131" t="s">
        <v>291</v>
      </c>
      <c r="H5" s="131" t="s">
        <v>292</v>
      </c>
      <c r="I5" s="131" t="s">
        <v>293</v>
      </c>
      <c r="J5" s="131" t="s">
        <v>357</v>
      </c>
      <c r="K5" s="131" t="s">
        <v>313</v>
      </c>
      <c r="L5" s="131" t="s">
        <v>289</v>
      </c>
      <c r="M5" s="131" t="s">
        <v>314</v>
      </c>
      <c r="N5" s="131" t="s">
        <v>291</v>
      </c>
      <c r="O5" s="131" t="s">
        <v>292</v>
      </c>
      <c r="P5" s="132" t="s">
        <v>293</v>
      </c>
      <c r="R5" s="137" t="s">
        <v>435</v>
      </c>
      <c r="S5" s="141" t="s">
        <v>289</v>
      </c>
      <c r="T5" s="131" t="s">
        <v>314</v>
      </c>
      <c r="U5" s="131" t="s">
        <v>291</v>
      </c>
      <c r="V5" s="131" t="s">
        <v>292</v>
      </c>
      <c r="W5" s="131" t="s">
        <v>293</v>
      </c>
      <c r="X5" s="141" t="s">
        <v>436</v>
      </c>
      <c r="Y5" s="141" t="s">
        <v>289</v>
      </c>
      <c r="Z5" s="131" t="s">
        <v>314</v>
      </c>
      <c r="AA5" s="131" t="s">
        <v>291</v>
      </c>
      <c r="AB5" s="131" t="s">
        <v>292</v>
      </c>
      <c r="AC5" s="131" t="s">
        <v>293</v>
      </c>
      <c r="AD5" s="10"/>
    </row>
    <row r="6" spans="3:30" x14ac:dyDescent="0.3">
      <c r="C6" s="133"/>
      <c r="D6" s="127"/>
      <c r="E6" s="127"/>
      <c r="F6" s="127"/>
      <c r="G6" s="127"/>
      <c r="H6" s="127"/>
      <c r="I6" s="127"/>
      <c r="J6" s="127"/>
      <c r="K6" s="127"/>
      <c r="L6" s="143"/>
      <c r="M6" s="143"/>
      <c r="N6" s="143"/>
      <c r="O6" s="143"/>
      <c r="P6" s="146"/>
      <c r="R6" s="133"/>
      <c r="S6" s="143"/>
      <c r="T6" s="143"/>
      <c r="U6" s="143"/>
      <c r="V6" s="143"/>
      <c r="W6" s="143"/>
      <c r="X6" s="127"/>
      <c r="Y6" s="127"/>
      <c r="Z6" s="127"/>
      <c r="AA6" s="127"/>
      <c r="AB6" s="127"/>
      <c r="AC6" s="128"/>
    </row>
    <row r="7" spans="3:30" x14ac:dyDescent="0.3">
      <c r="C7" s="133"/>
      <c r="D7" s="127" t="str">
        <f>'CASH BOOK'!K7</f>
        <v xml:space="preserve">Raw material </v>
      </c>
      <c r="E7" s="143">
        <f>'CASH BOOK'!L7</f>
        <v>2025750</v>
      </c>
      <c r="F7" s="143">
        <f>'CASH BOOK'!M7</f>
        <v>2025750</v>
      </c>
      <c r="G7" s="143">
        <v>1964977.5</v>
      </c>
      <c r="H7" s="143">
        <f>'CASH BOOK'!O7</f>
        <v>2357973</v>
      </c>
      <c r="I7" s="144">
        <v>2357973</v>
      </c>
      <c r="J7" s="127"/>
      <c r="K7" s="127" t="str">
        <f>'INCOME STATEMENT '!B8</f>
        <v>Revenue from operations</v>
      </c>
      <c r="L7" s="143">
        <f>'INCOME STATEMENT '!C8</f>
        <v>3600000</v>
      </c>
      <c r="M7" s="143">
        <f>'INCOME STATEMENT '!D8</f>
        <v>3798000</v>
      </c>
      <c r="N7" s="143">
        <f>'INCOME STATEMENT '!E8</f>
        <v>4082850</v>
      </c>
      <c r="O7" s="143">
        <f>'INCOME STATEMENT '!F8</f>
        <v>4470720.7499999991</v>
      </c>
      <c r="P7" s="143">
        <f>'INCOME STATEMENT '!G8</f>
        <v>4984853.6362499986</v>
      </c>
      <c r="R7" s="133" t="str">
        <f>'CASH BOOK'!E8</f>
        <v xml:space="preserve">Capital </v>
      </c>
      <c r="S7" s="143">
        <f>'CASH BOOK'!F8</f>
        <v>750000</v>
      </c>
      <c r="T7" s="143">
        <f>S7</f>
        <v>750000</v>
      </c>
      <c r="U7" s="143">
        <f>T7</f>
        <v>750000</v>
      </c>
      <c r="V7" s="143">
        <f>U7</f>
        <v>750000</v>
      </c>
      <c r="W7" s="143">
        <f>V7</f>
        <v>750000</v>
      </c>
      <c r="X7" s="142" t="s">
        <v>437</v>
      </c>
      <c r="Y7" s="135">
        <f>'CASH BOOK'!L20</f>
        <v>899177.5</v>
      </c>
      <c r="Z7" s="135">
        <f>'CASH BOOK'!M20</f>
        <v>699078.54999999981</v>
      </c>
      <c r="AA7" s="135">
        <f>'CASH BOOK'!N20</f>
        <v>598042.17499999981</v>
      </c>
      <c r="AB7" s="135">
        <f>'CASH BOOK'!O20</f>
        <v>812796.27499999851</v>
      </c>
      <c r="AC7" s="135">
        <f>'CASH BOOK'!P20</f>
        <v>1613120.7612499967</v>
      </c>
      <c r="AD7" s="136"/>
    </row>
    <row r="8" spans="3:30" x14ac:dyDescent="0.3">
      <c r="C8" s="133" t="s">
        <v>430</v>
      </c>
      <c r="D8" s="127" t="str">
        <f>'CASH BOOK'!K8</f>
        <v xml:space="preserve">Carriage inward </v>
      </c>
      <c r="E8" s="143">
        <f>'CASH BOOK'!L8</f>
        <v>36000</v>
      </c>
      <c r="F8" s="143">
        <f>'CASH BOOK'!M8</f>
        <v>36000</v>
      </c>
      <c r="G8" s="143">
        <v>36000</v>
      </c>
      <c r="H8" s="143">
        <f>'CASH BOOK'!O8</f>
        <v>43200</v>
      </c>
      <c r="I8" s="144">
        <v>43200</v>
      </c>
      <c r="J8" s="127"/>
      <c r="K8" s="127" t="str">
        <f>'INCOME STATEMENT '!B10</f>
        <v>Other Income</v>
      </c>
      <c r="L8" s="143">
        <f>'INCOME STATEMENT '!C10</f>
        <v>5000</v>
      </c>
      <c r="M8" s="143">
        <f>'INCOME STATEMENT '!D10</f>
        <v>7500</v>
      </c>
      <c r="N8" s="143">
        <f>'INCOME STATEMENT '!E10</f>
        <v>11250</v>
      </c>
      <c r="O8" s="143">
        <f>'INCOME STATEMENT '!F10</f>
        <v>16875</v>
      </c>
      <c r="P8" s="143">
        <f>'INCOME STATEMENT '!G10</f>
        <v>25312.5</v>
      </c>
      <c r="R8" s="133" t="str">
        <f>'CASH BOOK'!E10</f>
        <v>Loan from ICICI Ltd</v>
      </c>
      <c r="S8" s="143">
        <f>'CASH BOOK'!F10</f>
        <v>500000</v>
      </c>
      <c r="T8" s="143">
        <f>S8</f>
        <v>500000</v>
      </c>
      <c r="U8" s="143"/>
      <c r="V8" s="143"/>
      <c r="W8" s="143"/>
      <c r="X8" s="142" t="str">
        <f>K9</f>
        <v xml:space="preserve">Closing stock </v>
      </c>
      <c r="Y8" s="143">
        <f t="shared" ref="Y8" si="0">L9</f>
        <v>273375</v>
      </c>
      <c r="Z8" s="143">
        <f>(-'COST SHEET '!M26)+(-'COST SHEET '!I26)</f>
        <v>681641.25</v>
      </c>
      <c r="AA8" s="143">
        <f>(-'COST SHEET '!Q26)+'3 STATEMENT '!Z8</f>
        <v>1023928.325</v>
      </c>
      <c r="AB8" s="143">
        <f>AA8+O9</f>
        <v>1586288.8883333332</v>
      </c>
      <c r="AC8" s="146">
        <f>AB8+P9</f>
        <v>2026627.8199999998</v>
      </c>
      <c r="AD8" s="167"/>
    </row>
    <row r="9" spans="3:30" x14ac:dyDescent="0.3">
      <c r="C9" s="133" t="s">
        <v>430</v>
      </c>
      <c r="D9" s="127" t="str">
        <f>'CASH BOOK'!K9</f>
        <v xml:space="preserve">Manufacturing </v>
      </c>
      <c r="E9" s="143">
        <f>'CASH BOOK'!L9</f>
        <v>340000</v>
      </c>
      <c r="F9" s="143">
        <f>'CASH BOOK'!M9</f>
        <v>340000</v>
      </c>
      <c r="G9" s="143">
        <v>330000</v>
      </c>
      <c r="H9" s="143">
        <f>'CASH BOOK'!O9</f>
        <v>396000</v>
      </c>
      <c r="I9" s="144">
        <v>396000</v>
      </c>
      <c r="J9" s="127"/>
      <c r="K9" s="127" t="s">
        <v>438</v>
      </c>
      <c r="L9" s="143">
        <f>-'COST SHEET '!I26</f>
        <v>273375</v>
      </c>
      <c r="M9" s="143">
        <f>-'COST SHEET '!M26</f>
        <v>408266.25</v>
      </c>
      <c r="N9" s="143">
        <f>-'COST SHEET '!Q26</f>
        <v>342287.07500000001</v>
      </c>
      <c r="O9" s="143">
        <f>-'COST SHEET '!U26</f>
        <v>562360.56333333324</v>
      </c>
      <c r="P9" s="146">
        <f>-'COST SHEET '!Y26</f>
        <v>440338.93166666664</v>
      </c>
      <c r="R9" s="133" t="s">
        <v>439</v>
      </c>
      <c r="S9" s="143">
        <f>E22</f>
        <v>-77447.5</v>
      </c>
      <c r="T9" s="143">
        <f>F22+S9</f>
        <v>130719.79999999999</v>
      </c>
      <c r="U9" s="143">
        <f>G22+T9</f>
        <v>871970.50000000023</v>
      </c>
      <c r="V9" s="143">
        <f>H22+U9</f>
        <v>1649085.1633333324</v>
      </c>
      <c r="W9" s="143">
        <f>V9+I22</f>
        <v>2889748.581249997</v>
      </c>
      <c r="X9" s="142" t="s">
        <v>440</v>
      </c>
      <c r="Y9" s="127"/>
      <c r="Z9" s="135">
        <f>T10</f>
        <v>94401.45</v>
      </c>
      <c r="AA9" s="127"/>
      <c r="AB9" s="127"/>
      <c r="AC9" s="128"/>
    </row>
    <row r="10" spans="3:30" x14ac:dyDescent="0.3">
      <c r="C10" s="133" t="s">
        <v>430</v>
      </c>
      <c r="D10" s="127" t="str">
        <f>'CASH BOOK'!K10</f>
        <v xml:space="preserve">Rent </v>
      </c>
      <c r="E10" s="143">
        <f>'CASH BOOK'!L10</f>
        <v>272000</v>
      </c>
      <c r="F10" s="143">
        <f>'CASH BOOK'!M10</f>
        <v>272000</v>
      </c>
      <c r="G10" s="143">
        <v>272000</v>
      </c>
      <c r="H10" s="143">
        <f>'CASH BOOK'!O10</f>
        <v>350000</v>
      </c>
      <c r="I10" s="144">
        <v>350000</v>
      </c>
      <c r="J10" s="127"/>
      <c r="K10" s="127"/>
      <c r="L10" s="143"/>
      <c r="M10" s="143"/>
      <c r="N10" s="143"/>
      <c r="O10" s="143"/>
      <c r="P10" s="146"/>
      <c r="R10" s="133" t="s">
        <v>386</v>
      </c>
      <c r="S10" s="143"/>
      <c r="T10" s="143">
        <f>F20+F21</f>
        <v>94401.45</v>
      </c>
      <c r="U10" s="143"/>
      <c r="V10" s="143"/>
      <c r="W10" s="143"/>
      <c r="X10" s="127"/>
      <c r="Y10" s="127"/>
      <c r="Z10" s="127"/>
      <c r="AA10" s="127"/>
      <c r="AB10" s="127"/>
      <c r="AC10" s="128"/>
    </row>
    <row r="11" spans="3:30" x14ac:dyDescent="0.3">
      <c r="C11" s="133"/>
      <c r="D11" s="127" t="str">
        <f>'CASH BOOK'!K11</f>
        <v xml:space="preserve">Salary </v>
      </c>
      <c r="E11" s="143">
        <f>'CASH BOOK'!L11</f>
        <v>60000</v>
      </c>
      <c r="F11" s="143">
        <f>'CASH BOOK'!M11</f>
        <v>30000</v>
      </c>
      <c r="G11" s="143">
        <v>30000</v>
      </c>
      <c r="H11" s="143">
        <f>'CASH BOOK'!O11</f>
        <v>36000</v>
      </c>
      <c r="I11" s="144">
        <v>36000</v>
      </c>
      <c r="J11" s="127"/>
      <c r="K11" s="127"/>
      <c r="L11" s="143"/>
      <c r="M11" s="143"/>
      <c r="N11" s="143"/>
      <c r="O11" s="143"/>
      <c r="P11" s="146"/>
      <c r="R11" s="133"/>
      <c r="S11" s="143"/>
      <c r="T11" s="143"/>
      <c r="U11" s="143"/>
      <c r="V11" s="143"/>
      <c r="W11" s="143"/>
      <c r="X11" s="127"/>
      <c r="Y11" s="127"/>
      <c r="Z11" s="127"/>
      <c r="AA11" s="127"/>
      <c r="AB11" s="127"/>
      <c r="AC11" s="128"/>
    </row>
    <row r="12" spans="3:30" x14ac:dyDescent="0.3">
      <c r="C12" s="133" t="s">
        <v>430</v>
      </c>
      <c r="D12" s="127" t="str">
        <f>'CASH BOOK'!K12</f>
        <v xml:space="preserve">Advertisment </v>
      </c>
      <c r="E12" s="143">
        <f>'CASH BOOK'!L12</f>
        <v>429600</v>
      </c>
      <c r="F12" s="143">
        <f>'CASH BOOK'!M12</f>
        <v>429600</v>
      </c>
      <c r="G12" s="143">
        <v>369600</v>
      </c>
      <c r="H12" s="143">
        <f>'CASH BOOK'!O12</f>
        <v>369600</v>
      </c>
      <c r="I12" s="144">
        <v>309600</v>
      </c>
      <c r="J12" s="127"/>
      <c r="K12" s="127"/>
      <c r="L12" s="143"/>
      <c r="M12" s="143"/>
      <c r="N12" s="143"/>
      <c r="O12" s="143"/>
      <c r="P12" s="146"/>
      <c r="R12" s="133"/>
      <c r="S12" s="143"/>
      <c r="T12" s="143"/>
      <c r="U12" s="143"/>
      <c r="V12" s="143"/>
      <c r="W12" s="143"/>
      <c r="X12" s="127"/>
      <c r="Y12" s="127"/>
      <c r="Z12" s="127"/>
      <c r="AA12" s="127"/>
      <c r="AB12" s="127"/>
      <c r="AC12" s="128"/>
    </row>
    <row r="13" spans="3:30" x14ac:dyDescent="0.3">
      <c r="C13" s="133" t="s">
        <v>430</v>
      </c>
      <c r="D13" s="127" t="str">
        <f>'CASH BOOK'!K13</f>
        <v xml:space="preserve">Selling cost </v>
      </c>
      <c r="E13" s="143">
        <f>'CASH BOOK'!L13</f>
        <v>516600</v>
      </c>
      <c r="F13" s="143">
        <f>'CASH BOOK'!M13</f>
        <v>516600</v>
      </c>
      <c r="G13" s="143">
        <v>516600</v>
      </c>
      <c r="H13" s="143">
        <f>'CASH BOOK'!O13</f>
        <v>516600</v>
      </c>
      <c r="I13" s="144">
        <v>516600</v>
      </c>
      <c r="J13" s="127"/>
      <c r="K13" s="127"/>
      <c r="L13" s="143"/>
      <c r="M13" s="143"/>
      <c r="N13" s="143"/>
      <c r="O13" s="143"/>
      <c r="P13" s="146"/>
      <c r="R13" s="133"/>
      <c r="S13" s="143"/>
      <c r="T13" s="143"/>
      <c r="U13" s="143"/>
      <c r="V13" s="143"/>
      <c r="W13" s="143"/>
      <c r="X13" s="127"/>
      <c r="Y13" s="127"/>
      <c r="Z13" s="127"/>
      <c r="AA13" s="127"/>
      <c r="AB13" s="127"/>
      <c r="AC13" s="128"/>
    </row>
    <row r="14" spans="3:30" x14ac:dyDescent="0.3">
      <c r="C14" s="133"/>
      <c r="D14" s="127" t="str">
        <f>'CASH BOOK'!K14</f>
        <v xml:space="preserve">Interest on loan </v>
      </c>
      <c r="E14" s="143">
        <f>'CASH BOOK'!L14</f>
        <v>75000</v>
      </c>
      <c r="F14" s="143">
        <f>'CASH BOOK'!M14</f>
        <v>75000</v>
      </c>
      <c r="G14" s="143"/>
      <c r="H14" s="143"/>
      <c r="I14" s="143"/>
      <c r="J14" s="127"/>
      <c r="K14" s="127"/>
      <c r="L14" s="143"/>
      <c r="M14" s="143"/>
      <c r="N14" s="143"/>
      <c r="O14" s="143"/>
      <c r="P14" s="146"/>
      <c r="R14" s="133"/>
      <c r="S14" s="143"/>
      <c r="T14" s="143"/>
      <c r="U14" s="143"/>
      <c r="V14" s="143"/>
      <c r="W14" s="143"/>
      <c r="X14" s="127"/>
      <c r="Y14" s="127"/>
      <c r="Z14" s="127"/>
      <c r="AA14" s="127"/>
      <c r="AB14" s="127"/>
      <c r="AC14" s="128"/>
    </row>
    <row r="15" spans="3:30" x14ac:dyDescent="0.3">
      <c r="C15" s="133"/>
      <c r="D15" s="127" t="str">
        <f>'CASH BOOK'!K16</f>
        <v xml:space="preserve">Trademark </v>
      </c>
      <c r="E15" s="143">
        <f>'CASH BOOK'!L16</f>
        <v>5000</v>
      </c>
      <c r="F15" s="143">
        <v>0</v>
      </c>
      <c r="G15" s="143"/>
      <c r="H15" s="143"/>
      <c r="I15" s="143"/>
      <c r="J15" s="127"/>
      <c r="K15" s="127"/>
      <c r="L15" s="143"/>
      <c r="M15" s="143"/>
      <c r="N15" s="143"/>
      <c r="O15" s="143"/>
      <c r="P15" s="146"/>
      <c r="R15" s="133"/>
      <c r="S15" s="143"/>
      <c r="T15" s="143"/>
      <c r="U15" s="143"/>
      <c r="V15" s="143"/>
      <c r="W15" s="143"/>
      <c r="X15" s="127"/>
      <c r="Y15" s="127"/>
      <c r="Z15" s="127"/>
      <c r="AA15" s="127"/>
      <c r="AB15" s="127"/>
      <c r="AC15" s="128"/>
    </row>
    <row r="16" spans="3:30" x14ac:dyDescent="0.3">
      <c r="C16" s="133"/>
      <c r="D16" s="127" t="str">
        <f>'CASH BOOK'!K17</f>
        <v xml:space="preserve">Copyright </v>
      </c>
      <c r="E16" s="143">
        <f>'CASH BOOK'!L17</f>
        <v>7500</v>
      </c>
      <c r="F16" s="143">
        <v>0</v>
      </c>
      <c r="G16" s="143"/>
      <c r="H16" s="143"/>
      <c r="I16" s="143"/>
      <c r="J16" s="127"/>
      <c r="K16" s="127"/>
      <c r="L16" s="143"/>
      <c r="M16" s="143"/>
      <c r="N16" s="143"/>
      <c r="O16" s="143"/>
      <c r="P16" s="146"/>
      <c r="R16" s="133"/>
      <c r="S16" s="143"/>
      <c r="T16" s="143"/>
      <c r="U16" s="143"/>
      <c r="V16" s="143"/>
      <c r="W16" s="143"/>
      <c r="X16" s="127"/>
      <c r="Y16" s="127"/>
      <c r="Z16" s="127"/>
      <c r="AA16" s="127"/>
      <c r="AB16" s="127"/>
      <c r="AC16" s="128"/>
    </row>
    <row r="17" spans="3:30" x14ac:dyDescent="0.3">
      <c r="C17" s="133"/>
      <c r="D17" s="127" t="str">
        <f>'CASH BOOK'!K19</f>
        <v xml:space="preserve">Misc. </v>
      </c>
      <c r="E17" s="143">
        <f>'CASH BOOK'!L19</f>
        <v>188372.5</v>
      </c>
      <c r="F17" s="143">
        <f>'CASH BOOK'!M19</f>
        <v>186247.5</v>
      </c>
      <c r="G17" s="143">
        <f>'CASH BOOK'!N19</f>
        <v>175958.875</v>
      </c>
      <c r="H17" s="143">
        <f>'CASH BOOK'!O19</f>
        <v>203468.65000000002</v>
      </c>
      <c r="I17" s="143">
        <f>'CASH BOOK'!P19</f>
        <v>200468.65000000002</v>
      </c>
      <c r="J17" s="127"/>
      <c r="K17" s="127"/>
      <c r="L17" s="143"/>
      <c r="M17" s="143"/>
      <c r="N17" s="143"/>
      <c r="O17" s="143"/>
      <c r="P17" s="146"/>
      <c r="R17" s="133"/>
      <c r="S17" s="143"/>
      <c r="T17" s="143"/>
      <c r="U17" s="143"/>
      <c r="V17" s="143"/>
      <c r="W17" s="143"/>
      <c r="X17" s="127"/>
      <c r="Y17" s="127"/>
      <c r="Z17" s="127"/>
      <c r="AA17" s="127"/>
      <c r="AB17" s="127"/>
      <c r="AC17" s="128"/>
    </row>
    <row r="18" spans="3:30" x14ac:dyDescent="0.3">
      <c r="C18" s="133"/>
      <c r="D18" s="127"/>
      <c r="E18" s="143"/>
      <c r="F18" s="143"/>
      <c r="G18" s="143"/>
      <c r="H18" s="143"/>
      <c r="I18" s="143"/>
      <c r="J18" s="127"/>
      <c r="K18" s="127"/>
      <c r="L18" s="143"/>
      <c r="M18" s="143"/>
      <c r="N18" s="143"/>
      <c r="O18" s="143"/>
      <c r="P18" s="146"/>
      <c r="R18" s="133"/>
      <c r="S18" s="143"/>
      <c r="T18" s="143"/>
      <c r="U18" s="143"/>
      <c r="V18" s="143"/>
      <c r="W18" s="143"/>
      <c r="X18" s="127"/>
      <c r="Y18" s="127"/>
      <c r="Z18" s="127"/>
      <c r="AA18" s="127"/>
      <c r="AB18" s="127"/>
      <c r="AC18" s="128"/>
    </row>
    <row r="19" spans="3:30" x14ac:dyDescent="0.3">
      <c r="C19" s="133"/>
      <c r="D19" s="127" t="s">
        <v>385</v>
      </c>
      <c r="E19" s="135">
        <f>(L8+L7+L9)-(SUM(E7:E17))</f>
        <v>-77447.5</v>
      </c>
      <c r="F19" s="135">
        <f>(M8+M7+M9)-(SUM(F7:F17))</f>
        <v>302568.75</v>
      </c>
      <c r="G19" s="135">
        <f>(N8+N7+N9)-(SUM(G7:G17))</f>
        <v>741250.70000000019</v>
      </c>
      <c r="H19" s="135">
        <f>(O8+O7+O9)-(SUM(H7:H17))</f>
        <v>777114.66333333217</v>
      </c>
      <c r="I19" s="135">
        <f>(P8+P7+P9)-(SUM(I7:I17))</f>
        <v>1240663.4179166649</v>
      </c>
      <c r="J19" s="127"/>
      <c r="K19" s="127"/>
      <c r="L19" s="143"/>
      <c r="M19" s="143"/>
      <c r="N19" s="143"/>
      <c r="O19" s="143"/>
      <c r="P19" s="146"/>
      <c r="R19" s="133"/>
      <c r="S19" s="143"/>
      <c r="T19" s="143"/>
      <c r="U19" s="143"/>
      <c r="V19" s="143"/>
      <c r="W19" s="143"/>
      <c r="X19" s="127"/>
      <c r="Y19" s="127"/>
      <c r="Z19" s="127"/>
      <c r="AA19" s="127"/>
      <c r="AB19" s="127"/>
      <c r="AC19" s="128"/>
    </row>
    <row r="20" spans="3:30" x14ac:dyDescent="0.3">
      <c r="C20" s="133"/>
      <c r="D20" s="127" t="s">
        <v>386</v>
      </c>
      <c r="E20" s="142">
        <f>0</f>
        <v>0</v>
      </c>
      <c r="F20" s="145">
        <f>F19*30%</f>
        <v>90770.625</v>
      </c>
      <c r="G20" s="135"/>
      <c r="H20" s="135"/>
      <c r="I20" s="135"/>
      <c r="J20" s="127"/>
      <c r="K20" s="127"/>
      <c r="L20" s="143"/>
      <c r="M20" s="143"/>
      <c r="N20" s="143"/>
      <c r="O20" s="143"/>
      <c r="P20" s="146"/>
      <c r="R20" s="133" t="s">
        <v>339</v>
      </c>
      <c r="S20" s="143">
        <f>SUM(S7:S19)</f>
        <v>1172552.5</v>
      </c>
      <c r="T20" s="143">
        <f>SUM(T7:T19)</f>
        <v>1475121.25</v>
      </c>
      <c r="U20" s="143">
        <f>SUM(U7:U19)</f>
        <v>1621970.5000000002</v>
      </c>
      <c r="V20" s="143">
        <f>SUM(V7:V19)</f>
        <v>2399085.1633333322</v>
      </c>
      <c r="W20" s="143">
        <f>SUM(W7:W19)</f>
        <v>3639748.581249997</v>
      </c>
      <c r="X20" s="127"/>
      <c r="Y20" s="135">
        <f>SUM(Y7:Y19)</f>
        <v>1172552.5</v>
      </c>
      <c r="Z20" s="135">
        <f t="shared" ref="Z20:AC20" si="1">SUM(Z7:Z19)</f>
        <v>1475121.2499999998</v>
      </c>
      <c r="AA20" s="135">
        <f t="shared" si="1"/>
        <v>1621970.4999999998</v>
      </c>
      <c r="AB20" s="135">
        <f t="shared" si="1"/>
        <v>2399085.1633333317</v>
      </c>
      <c r="AC20" s="135">
        <f t="shared" si="1"/>
        <v>3639748.5812499966</v>
      </c>
      <c r="AD20" s="136"/>
    </row>
    <row r="21" spans="3:30" x14ac:dyDescent="0.3">
      <c r="C21" s="133"/>
      <c r="D21" t="s">
        <v>441</v>
      </c>
      <c r="F21" s="135">
        <f>F20*4%</f>
        <v>3630.8250000000003</v>
      </c>
      <c r="G21" s="142"/>
      <c r="H21" s="142"/>
      <c r="I21" s="142"/>
      <c r="J21" s="127"/>
      <c r="K21" s="127"/>
      <c r="L21" s="143"/>
      <c r="M21" s="143"/>
      <c r="N21" s="143"/>
      <c r="O21" s="143"/>
      <c r="P21" s="146"/>
      <c r="R21" s="133"/>
      <c r="S21" s="143"/>
      <c r="T21" s="143"/>
      <c r="U21" s="143"/>
      <c r="V21" s="143"/>
      <c r="W21" s="143"/>
      <c r="X21" s="127"/>
      <c r="Y21" s="127"/>
      <c r="Z21" s="127"/>
      <c r="AA21" s="127"/>
      <c r="AB21" s="127"/>
      <c r="AC21" s="128"/>
    </row>
    <row r="22" spans="3:30" x14ac:dyDescent="0.3">
      <c r="C22" s="133"/>
      <c r="D22" s="127" t="s">
        <v>442</v>
      </c>
      <c r="E22" s="135">
        <f>E19-E20-E21</f>
        <v>-77447.5</v>
      </c>
      <c r="F22" s="135">
        <f>F19-F20-F21</f>
        <v>208167.3</v>
      </c>
      <c r="G22" s="135">
        <f>G19-G20-G21</f>
        <v>741250.70000000019</v>
      </c>
      <c r="H22" s="135">
        <f>H19-H20-H21</f>
        <v>777114.66333333217</v>
      </c>
      <c r="I22" s="135">
        <f>I19-I20-I21</f>
        <v>1240663.4179166649</v>
      </c>
      <c r="J22" s="127"/>
      <c r="K22" s="127"/>
      <c r="L22" s="143"/>
      <c r="M22" s="143"/>
      <c r="N22" s="143"/>
      <c r="O22" s="143"/>
      <c r="P22" s="146"/>
      <c r="R22" s="133"/>
      <c r="S22" s="143"/>
      <c r="T22" s="143"/>
      <c r="U22" s="143"/>
      <c r="V22" s="143"/>
      <c r="W22" s="143"/>
      <c r="X22" s="127"/>
      <c r="Y22" s="127"/>
      <c r="Z22" s="127"/>
      <c r="AA22" s="127"/>
      <c r="AB22" s="127"/>
      <c r="AC22" s="128"/>
    </row>
    <row r="23" spans="3:30" ht="15" thickBot="1" x14ac:dyDescent="0.35">
      <c r="C23" s="133"/>
      <c r="D23" s="127"/>
      <c r="E23" s="127"/>
      <c r="F23" s="127"/>
      <c r="G23" s="127"/>
      <c r="H23" s="127"/>
      <c r="I23" s="127"/>
      <c r="J23" s="127"/>
      <c r="K23" s="127"/>
      <c r="L23" s="143"/>
      <c r="M23" s="143"/>
      <c r="N23" s="143"/>
      <c r="O23" s="143"/>
      <c r="P23" s="146"/>
      <c r="R23" s="138"/>
      <c r="S23" s="168"/>
      <c r="T23" s="168"/>
      <c r="U23" s="168"/>
      <c r="V23" s="168"/>
      <c r="W23" s="168"/>
      <c r="X23" s="139"/>
      <c r="Y23" s="139"/>
      <c r="Z23" s="139"/>
      <c r="AA23" s="139"/>
      <c r="AB23" s="139"/>
      <c r="AC23" s="140"/>
    </row>
    <row r="24" spans="3:30" x14ac:dyDescent="0.3">
      <c r="C24" s="133"/>
      <c r="G24" s="127"/>
      <c r="H24" s="127"/>
      <c r="I24" s="127"/>
      <c r="J24" s="127"/>
      <c r="K24" s="127"/>
      <c r="L24" s="143"/>
      <c r="M24" s="143"/>
      <c r="N24" s="143"/>
      <c r="O24" s="143"/>
      <c r="P24" s="146"/>
    </row>
    <row r="25" spans="3:30" x14ac:dyDescent="0.3">
      <c r="C25" s="133"/>
      <c r="D25" s="127"/>
      <c r="E25" s="127"/>
      <c r="F25" s="127"/>
      <c r="G25" s="127"/>
      <c r="H25" s="127"/>
      <c r="I25" s="127"/>
      <c r="J25" s="127"/>
      <c r="K25" s="127"/>
      <c r="L25" s="143"/>
      <c r="M25" s="143"/>
      <c r="N25" s="143"/>
      <c r="O25" s="143"/>
      <c r="P25" s="146"/>
      <c r="R25" t="s">
        <v>78</v>
      </c>
      <c r="S25" s="169">
        <f>S20-Y20</f>
        <v>0</v>
      </c>
      <c r="T25" s="166">
        <f t="shared" ref="T25:W25" si="2">T20-Z20</f>
        <v>0</v>
      </c>
      <c r="U25" s="166">
        <f>U20-AA20</f>
        <v>0</v>
      </c>
      <c r="V25" s="166">
        <f t="shared" si="2"/>
        <v>0</v>
      </c>
      <c r="W25" s="169">
        <f t="shared" si="2"/>
        <v>0</v>
      </c>
    </row>
    <row r="26" spans="3:30" x14ac:dyDescent="0.3">
      <c r="C26" s="133"/>
      <c r="D26" s="127"/>
      <c r="E26" s="127"/>
      <c r="F26" s="127"/>
      <c r="G26" s="127"/>
      <c r="H26" s="127"/>
      <c r="I26" s="127"/>
      <c r="J26" s="127"/>
      <c r="K26" s="127"/>
      <c r="L26" s="143"/>
      <c r="M26" s="143"/>
      <c r="N26" s="143"/>
      <c r="O26" s="143"/>
      <c r="P26" s="146"/>
    </row>
    <row r="27" spans="3:30" x14ac:dyDescent="0.3">
      <c r="C27" s="133"/>
      <c r="D27" s="127"/>
      <c r="E27" s="127"/>
      <c r="F27" s="127"/>
      <c r="G27" s="127"/>
      <c r="H27" s="127"/>
      <c r="I27" s="127"/>
      <c r="J27" s="127"/>
      <c r="K27" s="127"/>
      <c r="L27" s="143"/>
      <c r="M27" s="143"/>
      <c r="N27" s="143"/>
      <c r="O27" s="143"/>
      <c r="P27" s="146"/>
    </row>
    <row r="28" spans="3:30" ht="15" thickBot="1" x14ac:dyDescent="0.35">
      <c r="C28" s="138"/>
      <c r="D28" s="139"/>
      <c r="E28" s="139"/>
      <c r="F28" s="139"/>
      <c r="G28" s="139"/>
      <c r="H28" s="139"/>
      <c r="I28" s="139"/>
      <c r="J28" s="139"/>
      <c r="K28" s="139"/>
      <c r="L28" s="168"/>
      <c r="M28" s="168"/>
      <c r="N28" s="168"/>
      <c r="O28" s="168"/>
      <c r="P28" s="170"/>
    </row>
  </sheetData>
  <mergeCells count="2">
    <mergeCell ref="C4:P4"/>
    <mergeCell ref="R4:AC4"/>
  </mergeCell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design" Type="http://schemas.openxmlformats.org/officeDocument/2006/relationships/image" Target="images/5e58317e-0ab1-466e-a1bc-c16f9f5acf43.png"/><Relationship Id="dial1" Type="http://schemas.openxmlformats.org/officeDocument/2006/relationships/image" Target="images/afb0d2f0-95c0-447c-b983-95b446bbdcd1.png"/><Relationship Id="data" Type="http://schemas.openxmlformats.org/officeDocument/2006/relationships/image" Target="images/86769140-8cde-4474-a49c-43c2835aa3bd.png"/><Relationship Id="info" Type="http://schemas.openxmlformats.org/officeDocument/2006/relationships/image" Target="images/239eefc1-6e69-4442-af66-b1e0d4d86f74.png"/><Relationship Id="waternew2" Type="http://schemas.openxmlformats.org/officeDocument/2006/relationships/image" Target="images/8aa0fd19-2245-4891-b6d9-7731ee63884f.png"/><Relationship Id="s1cuie" Type="http://schemas.openxmlformats.org/officeDocument/2006/relationships/image" Target="images/s1cuie.rcr"/></Relationships>
</file>

<file path=customUI/customUI14.xml><?xml version="1.0" encoding="utf-8"?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customUI xmlns="http://schemas.microsoft.com/office/2009/07/customui">
  <ribbon>
    <tabs>
      <tab id="customTab" label="Financial Dashboard" insertAfterMso="TabDeveloper">
        <group id="customGroup" label="Free Dashboards - ExcelDashboardSchool.com">
          <button id="customButton38" label="Data Sheet" size="large" onAction="ShowSetup2" image="data"/>
          <button id="customButton2" label="Dashboard" size="large" onAction="ShowDashboard" image="dial1"/>
          <button id="customButton27" label="Calc Sheet" size="large" onAction="ShowCalcSheet2" image="design"/>
          <button id="customButton28" label="About" size="large" onAction="ShowAbout" image="info"/>
        </group>
      </tab>
    </tabs>
  </ribbon>
</customUI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INDEX</vt:lpstr>
      <vt:lpstr>data</vt:lpstr>
      <vt:lpstr>DASHBOARD </vt:lpstr>
      <vt:lpstr>Statement</vt:lpstr>
      <vt:lpstr>ChartsDataSheet</vt:lpstr>
      <vt:lpstr>calc</vt:lpstr>
      <vt:lpstr>SALES FORECAST</vt:lpstr>
      <vt:lpstr>COST SHEET </vt:lpstr>
      <vt:lpstr>INCOME STATEMENT </vt:lpstr>
      <vt:lpstr>BALANCE SHEET </vt:lpstr>
      <vt:lpstr>CASH BOOK</vt:lpstr>
      <vt:lpstr>CASH FLOW STATEMENT </vt:lpstr>
      <vt:lpstr>BREAK EVEN POINT </vt:lpstr>
      <vt:lpstr>RATIOS </vt:lpstr>
      <vt:lpstr>COP (IN UNITS) </vt:lpstr>
      <vt:lpstr>3 STATEMENT </vt:lpstr>
      <vt:lpstr>ListMonths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 ARORA</dc:creator>
  <cp:lastModifiedBy>Natasha Machado</cp:lastModifiedBy>
  <dcterms:created xsi:type="dcterms:W3CDTF">2017-09-12T19:09:04Z</dcterms:created>
  <dcterms:modified xsi:type="dcterms:W3CDTF">2024-03-03T19:38:37Z</dcterms:modified>
</cp:coreProperties>
</file>